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94f2bff69040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af987532f994403a"/>
    <x:sheet xmlns:r="http://schemas.openxmlformats.org/officeDocument/2006/relationships" name="ESP32-S3 Pin Map" sheetId="2" r:id="R45e8186bc6594493"/>
    <x:sheet xmlns:r="http://schemas.openxmlformats.org/officeDocument/2006/relationships" name="Power Budget" sheetId="3" r:id="R5d91eba8eaa84c00"/>
    <x:sheet xmlns:r="http://schemas.openxmlformats.org/officeDocument/2006/relationships" name="Signals &amp; Interfaces" sheetId="4" r:id="R9b97ee52b7864983"/>
    <x:sheet xmlns:r="http://schemas.openxmlformats.org/officeDocument/2006/relationships" name="Wiring Matrix" sheetId="5" r:id="R6115c4e11ea44f62"/>
    <x:sheet xmlns:r="http://schemas.openxmlformats.org/officeDocument/2006/relationships" name="Open Items &amp; Tests" sheetId="6" r:id="R71ee23eee2ce49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1F1F1F"/>
      <x:name val="Carlito"/>
    </x:font>
    <x:font>
      <x:b/>
      <x:sz val="11"/>
      <x:color rgb="FF1F1F1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</x:cellXfs>
  <x:cellStyles count="1">
    <x:cellStyle name="Normal" xfId="0"/>
  </x:cellStyles>
  <x:dxfs count="9">
    <x:dxf>
      <x:font>
        <x:b/>
      </x:font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a6819c6b4c49e8" /><Relationship Type="http://schemas.openxmlformats.org/officeDocument/2006/relationships/theme" Target="/xl/theme/theme1.xml" Id="R8ea6c2023ed746a2" /><Relationship Type="http://schemas.openxmlformats.org/officeDocument/2006/relationships/sharedStrings" Target="/xl/sharedStrings.xml" Id="Rca82a7d8e7d94c82" /><Relationship Type="http://schemas.openxmlformats.org/officeDocument/2006/relationships/worksheet" Target="/xl/worksheets/sheet1.xml" Id="Raf987532f994403a" /><Relationship Type="http://schemas.openxmlformats.org/officeDocument/2006/relationships/worksheet" Target="/xl/worksheets/sheet2.xml" Id="R45e8186bc6594493" /><Relationship Type="http://schemas.openxmlformats.org/officeDocument/2006/relationships/worksheet" Target="/xl/worksheets/sheet3.xml" Id="R5d91eba8eaa84c00" /><Relationship Type="http://schemas.openxmlformats.org/officeDocument/2006/relationships/worksheet" Target="/xl/worksheets/sheet4.xml" Id="R9b97ee52b7864983" /><Relationship Type="http://schemas.openxmlformats.org/officeDocument/2006/relationships/worksheet" Target="/xl/worksheets/sheet5.xml" Id="R6115c4e11ea44f62" /><Relationship Type="http://schemas.openxmlformats.org/officeDocument/2006/relationships/worksheet" Target="/xl/worksheets/sheet6.xml" Id="R71ee23eee2ce49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12" hidden="0" customWidth="1"/>
    <x:col min="4" max="4" width="48" hidden="0" customWidth="1"/>
    <x:col min="5" max="5" width="14" hidden="0" customWidth="1"/>
    <x:col min="6" max="6" width="14" hidden="0" customWidth="1"/>
    <x:col min="7" max="7" width="38" hidden="0" customWidth="1"/>
    <x:col min="8" max="8" width="14" hidden="0" customWidth="1"/>
  </x:cols>
  <x:sheetData>
    <x:row r="1" ht="24" customHeight="1">
      <x:c r="A1" s="5" t="str">
        <x:v>AutoKart — ESP32-S3 Pin &amp; Power Budget — Rev A</x:v>
      </x:c>
      <x:c r="B1" s="5"/>
      <x:c r="C1" s="5"/>
      <x:c r="D1" s="5"/>
      <x:c r="E1" s="5"/>
      <x:c r="F1" s="5"/>
      <x:c r="G1" s="5"/>
      <x:c r="H1" s="5"/>
    </x:row>
    <x:row r="2" ht="24" customHeight="1">
      <x:c r="A2" s="5"/>
      <x:c r="B2" s="5"/>
      <x:c r="C2" s="5"/>
      <x:c r="D2" s="5"/>
      <x:c r="E2" s="5"/>
      <x:c r="F2" s="5"/>
      <x:c r="G2" s="5"/>
      <x:c r="H2" s="5"/>
    </x:row>
    <x:row r="4" ht="32" customHeight="1">
      <x:c r="A4" s="14" t="str">
        <x:v>Design Item</x:v>
      </x:c>
      <x:c r="B4" s="14" t="str">
        <x:v>Frozen Decision</x:v>
      </x:c>
      <x:c r="C4" s="14" t="str">
        <x:v>Status</x:v>
      </x:c>
      <x:c r="D4" s="14" t="str">
        <x:v>Reason / Notes</x:v>
      </x:c>
      <x:c r="E4" s="14" t="str">
        <x:v>Safety Impact</x:v>
      </x:c>
      <x:c r="F4" s="14" t="str">
        <x:v>Owner</x:v>
      </x:c>
      <x:c r="G4" s="14" t="str">
        <x:v>Verification</x:v>
      </x:c>
      <x:c r="H4" s="14" t="str">
        <x:v>Result</x:v>
      </x:c>
    </x:row>
    <x:row r="5">
      <x:c r="A5" s="22" t="str">
        <x:v>Controller architecture</x:v>
      </x:c>
      <x:c r="B5" s="22" t="str">
        <x:v>ESP32-S3 directly controls BLDC + steering + brake; C3 actuator nodes removed for this prototype</x:v>
      </x:c>
      <x:c r="C5" s="22" t="str">
        <x:v>FROZEN</x:v>
      </x:c>
      <x:c r="D5" s="22" t="str">
        <x:v>Reduces demo wiring/communications complexity. S3 is not the independent safety layer.</x:v>
      </x:c>
      <x:c r="E5" s="22" t="str">
        <x:v>High</x:v>
      </x:c>
      <x:c r="F5" s="22" t="str">
        <x:v>Controls</x:v>
      </x:c>
      <x:c r="G5" s="22" t="str">
        <x:v>Bench + wheels-off-ground integration</x:v>
      </x:c>
      <x:c r="H5" s="22" t="str">
        <x:v>Pending</x:v>
      </x:c>
    </x:row>
    <x:row r="6">
      <x:c r="A6" s="22" t="str">
        <x:v>BLDC traction rail</x:v>
      </x:c>
      <x:c r="B6" s="22" t="str">
        <x:v>48 V nominal to BLD-750 (driver accepts 18–50 V; rated input 48 V)</x:v>
      </x:c>
      <x:c r="C6" s="22" t="str">
        <x:v>FROZEN</x:v>
      </x:c>
      <x:c r="D6" s="22" t="str">
        <x:v>Separate traction branch.</x:v>
      </x:c>
      <x:c r="E6" s="22" t="str">
        <x:v>High</x:v>
      </x:c>
      <x:c r="F6" s="22" t="str">
        <x:v>Electrical</x:v>
      </x:c>
      <x:c r="G6" s="22" t="str">
        <x:v>Measure pack voltage under load</x:v>
      </x:c>
      <x:c r="H6" s="22" t="str">
        <x:v>Pending</x:v>
      </x:c>
    </x:row>
    <x:row r="7">
      <x:c r="A7" s="22" t="str">
        <x:v>Stepper actuator rail</x:v>
      </x:c>
      <x:c r="B7" s="22" t="str">
        <x:v>24 V to steering TB6600 and brake TB6600 on separate fused branches</x:v>
      </x:c>
      <x:c r="C7" s="22" t="str">
        <x:v>FROZEN</x:v>
      </x:c>
      <x:c r="D7" s="22" t="str">
        <x:v>5 A fuse was the prototype starting point and must be validated by measurement.</x:v>
      </x:c>
      <x:c r="E7" s="22" t="str">
        <x:v>High</x:v>
      </x:c>
      <x:c r="F7" s="22" t="str">
        <x:v>Electrical</x:v>
      </x:c>
      <x:c r="G7" s="22" t="str">
        <x:v>Measure driver input current, coil temperature and fuse margin</x:v>
      </x:c>
      <x:c r="H7" s="22" t="str">
        <x:v>Pending</x:v>
      </x:c>
    </x:row>
    <x:row r="8">
      <x:c r="A8" s="22" t="str">
        <x:v>Logic rails</x:v>
      </x:c>
      <x:c r="B8" s="22" t="str">
        <x:v>24 V auxiliary → 5 V DC/DC ≥3 A → ESP32-S3; dedicated 3.3 V regulator ≥1 A for 3.3 V peripherals</x:v>
      </x:c>
      <x:c r="C8" s="22" t="str">
        <x:v>FROZEN</x:v>
      </x:c>
      <x:c r="D8" s="22" t="str">
        <x:v>Do not power RA-02 / encoder transceivers from the ESP32-S3 onboard 3.3 V regulator.</x:v>
      </x:c>
      <x:c r="E8" s="22" t="str">
        <x:v>High</x:v>
      </x:c>
      <x:c r="F8" s="22" t="str">
        <x:v>Electrical</x:v>
      </x:c>
      <x:c r="G8" s="22" t="str">
        <x:v>Measure 5 V and 3.3 V sag during LoRa TX + actuator switching</x:v>
      </x:c>
      <x:c r="H8" s="22" t="str">
        <x:v>Pending</x:v>
      </x:c>
    </x:row>
    <x:row r="9">
      <x:c r="A9" s="22" t="str">
        <x:v>Throttle command</x:v>
      </x:c>
      <x:c r="B9" s="22" t="str">
        <x:v>ESP32-S3 I²C → GP8630N → analog SV command to BLD-750</x:v>
      </x:c>
      <x:c r="C9" s="22" t="str">
        <x:v>FROZEN</x:v>
      </x:c>
      <x:c r="D9" s="22" t="str">
        <x:v>Configure DAC to 0–5 V at every boot. Confirm actual BLD-750 SV variant before vehicle test.</x:v>
      </x:c>
      <x:c r="E9" s="22" t="str">
        <x:v>High</x:v>
      </x:c>
      <x:c r="F9" s="22" t="str">
        <x:v>Controls</x:v>
      </x:c>
      <x:c r="G9" s="22" t="str">
        <x:v>Scope DAC output from 0% to 100%</x:v>
      </x:c>
      <x:c r="H9" s="22" t="str">
        <x:v>Pending</x:v>
      </x:c>
    </x:row>
    <x:row r="10">
      <x:c r="A10" s="22" t="str">
        <x:v>Encoder feedback</x:v>
      </x:c>
      <x:c r="B10" s="22" t="str">
        <x:v>AS5600 PWM ×2 + AS5047P ABI to ESP32-S3; differential MAX3485 links retained where used</x:v>
      </x:c>
      <x:c r="C10" s="22" t="str">
        <x:v>FROZEN</x:v>
      </x:c>
      <x:c r="D10" s="22" t="str">
        <x:v>S3 sees 3.3 V logic at the receive side. No 5 V signals into S3 GPIO.</x:v>
      </x:c>
      <x:c r="E10" s="22" t="str">
        <x:v>High</x:v>
      </x:c>
      <x:c r="F10" s="22" t="str">
        <x:v>Sensors</x:v>
      </x:c>
      <x:c r="G10" s="22" t="str">
        <x:v>Rotate each mechanism and verify direction/count/range</x:v>
      </x:c>
      <x:c r="H10" s="22" t="str">
        <x:v>Pending</x:v>
      </x:c>
    </x:row>
    <x:row r="11">
      <x:c r="A11" s="22" t="str">
        <x:v>E-stop</x:v>
      </x:c>
      <x:c r="B11" s="22" t="str">
        <x:v>GPIO7 is status/telemetry only; hardware E-stop kill path stays independent of ESP32-S3</x:v>
      </x:c>
      <x:c r="C11" s="22" t="str">
        <x:v>FROZEN</x:v>
      </x:c>
      <x:c r="D11" s="22" t="str">
        <x:v>Software must never be the only stop path.</x:v>
      </x:c>
      <x:c r="E11" s="22" t="str">
        <x:v>Critical</x:v>
      </x:c>
      <x:c r="F11" s="22" t="str">
        <x:v>Safety</x:v>
      </x:c>
      <x:c r="G11" s="22" t="str">
        <x:v>Power-off E-stop continuity + energized drop-out test</x:v>
      </x:c>
      <x:c r="H11" s="22" t="str">
        <x:v>Pending</x:v>
      </x:c>
    </x:row>
    <x:row r="12">
      <x:c r="A12" s="22" t="str">
        <x:v>Traction fuse/cable/contactor sizing</x:v>
      </x:c>
      <x:c r="B12" s="22" t="str">
        <x:v>NOT frozen</x:v>
      </x:c>
      <x:c r="C12" s="22" t="str">
        <x:v>OPEN</x:v>
      </x:c>
      <x:c r="D12" s="22" t="str">
        <x:v>Requires actual motor current, pack/BMS limits, measured peak current and conductor/contactor data.</x:v>
      </x:c>
      <x:c r="E12" s="22" t="str">
        <x:v>Critical</x:v>
      </x:c>
      <x:c r="F12" s="22" t="str">
        <x:v>Electrical</x:v>
      </x:c>
      <x:c r="G12" s="22" t="str">
        <x:v>Current logging + datasheets</x:v>
      </x:c>
      <x:c r="H12" s="22" t="str">
        <x:v>TBD</x:v>
      </x:c>
    </x:row>
  </x:sheetData>
  <x:mergeCells>
    <x:mergeCell ref="A1:H2"/>
  </x:mergeCells>
  <x:conditionalFormatting sqref="C5:C12">
    <x:cfRule type="expression" dxfId="0" priority="1">
      <x:formula>C5="FROZEN"</x:formula>
    </x:cfRule>
    <x:cfRule type="expression" dxfId="1" priority="2">
      <x:formula>C5="OPEN"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34" hidden="0" customWidth="1"/>
    <x:col min="4" max="4" width="14" hidden="0" customWidth="1"/>
    <x:col min="5" max="5" width="21" hidden="0" customWidth="1"/>
    <x:col min="6" max="6" width="20" hidden="0" customWidth="1"/>
    <x:col min="7" max="7" width="34" hidden="0" customWidth="1"/>
    <x:col min="8" max="8" width="42" hidden="0" customWidth="1"/>
    <x:col min="9" max="9" width="12" hidden="0" customWidth="1"/>
    <x:col min="10" max="10" width="12" hidden="0" customWidth="1"/>
  </x:cols>
  <x:sheetData>
    <x:row r="1" ht="24" customHeight="1">
      <x:c r="A1" s="5" t="str">
        <x:v>Frozen ESP32-S3 GPIO Budget — Direct S3 Architecture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4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</x:row>
    <x:row r="4" ht="32" customHeight="1">
      <x:c r="A4" s="14" t="str">
        <x:v>GPIO</x:v>
      </x:c>
      <x:c r="B4" s="14" t="str">
        <x:v>Subsystem</x:v>
      </x:c>
      <x:c r="C4" s="14" t="str">
        <x:v>Signal / Connection</x:v>
      </x:c>
      <x:c r="D4" s="14" t="str">
        <x:v>S3 Direction</x:v>
      </x:c>
      <x:c r="E4" s="14" t="str">
        <x:v>Interface</x:v>
      </x:c>
      <x:c r="F4" s="14" t="str">
        <x:v>Signal Level</x:v>
      </x:c>
      <x:c r="G4" s="14" t="str">
        <x:v>External Circuit</x:v>
      </x:c>
      <x:c r="H4" s="14" t="str">
        <x:v>Boot / Safety Note</x:v>
      </x:c>
      <x:c r="I4" s="14" t="str">
        <x:v>Status</x:v>
      </x:c>
      <x:c r="J4" s="14" t="str">
        <x:v>Clash Check</x:v>
      </x:c>
    </x:row>
    <x:row r="5">
      <x:c r="A5" s="22" t="n">
        <x:v>1</x:v>
      </x:c>
      <x:c r="B5" s="22" t="str">
        <x:v>BLDC / BLD-750</x:v>
      </x:c>
      <x:c r="C5" s="22" t="str">
        <x:v>EN</x:v>
      </x:c>
      <x:c r="D5" s="22" t="str">
        <x:v>OUT</x:v>
      </x:c>
      <x:c r="E5" s="22" t="str">
        <x:v>Discrete via transistor</x:v>
      </x:c>
      <x:c r="F5" s="22" t="str">
        <x:v>3.3 V GPIO → PN2222</x:v>
      </x:c>
      <x:c r="G5" s="22" t="str">
        <x:v>PN2222 + base resistor</x:v>
      </x:c>
      <x:c r="H5" s="22" t="str">
        <x:v>Default-safe output at boot</x:v>
      </x:c>
      <x:c r="I5" s="22" t="str">
        <x:v>USED</x:v>
      </x:c>
      <x:c r="J5" s="22" t="str">
        <x:f>IF(COUNTIF($A$5:$A$27,A5)&gt;1,"CLASH","OK")</x:f>
        <x:v>OK</x:v>
      </x:c>
    </x:row>
    <x:row r="6">
      <x:c r="A6" s="22" t="n">
        <x:v>2</x:v>
      </x:c>
      <x:c r="B6" s="22" t="str">
        <x:v>BLDC / BLD-750</x:v>
      </x:c>
      <x:c r="C6" s="22" t="str">
        <x:v>BRK</x:v>
      </x:c>
      <x:c r="D6" s="22" t="str">
        <x:v>OUT</x:v>
      </x:c>
      <x:c r="E6" s="22" t="str">
        <x:v>Discrete via transistor</x:v>
      </x:c>
      <x:c r="F6" s="22" t="str">
        <x:v>3.3 V GPIO → PN2222</x:v>
      </x:c>
      <x:c r="G6" s="22" t="str">
        <x:v>PN2222 + base resistor</x:v>
      </x:c>
      <x:c r="H6" s="22" t="str">
        <x:v>Defined brake reset state</x:v>
      </x:c>
      <x:c r="I6" s="22" t="str">
        <x:v>USED</x:v>
      </x:c>
      <x:c r="J6" s="22" t="str">
        <x:f>IF(COUNTIF($A$5:$A$27,A6)&gt;1,"CLASH","OK")</x:f>
        <x:v>OK</x:v>
      </x:c>
    </x:row>
    <x:row r="7">
      <x:c r="A7" s="22" t="n">
        <x:v>4</x:v>
      </x:c>
      <x:c r="B7" s="22" t="str">
        <x:v>Steering</x:v>
      </x:c>
      <x:c r="C7" s="22" t="str">
        <x:v>TB6600 PUL+</x:v>
      </x:c>
      <x:c r="D7" s="22" t="str">
        <x:v>OUT</x:v>
      </x:c>
      <x:c r="E7" s="22" t="str">
        <x:v>STEP</x:v>
      </x:c>
      <x:c r="F7" s="22" t="str">
        <x:v>3.3 V GPIO</x:v>
      </x:c>
      <x:c r="G7" s="22" t="str">
        <x:v>TB6600 input</x:v>
      </x:c>
      <x:c r="H7" s="22" t="str">
        <x:v>Verify exact TB6600 accepts 3.3 V reliably</x:v>
      </x:c>
      <x:c r="I7" s="22" t="str">
        <x:v>USED</x:v>
      </x:c>
      <x:c r="J7" s="22" t="str">
        <x:f>IF(COUNTIF($A$5:$A$27,A7)&gt;1,"CLASH","OK")</x:f>
        <x:v>OK</x:v>
      </x:c>
    </x:row>
    <x:row r="8">
      <x:c r="A8" s="22" t="n">
        <x:v>5</x:v>
      </x:c>
      <x:c r="B8" s="22" t="str">
        <x:v>Steering</x:v>
      </x:c>
      <x:c r="C8" s="22" t="str">
        <x:v>TB6600 DIR+</x:v>
      </x:c>
      <x:c r="D8" s="22" t="str">
        <x:v>OUT</x:v>
      </x:c>
      <x:c r="E8" s="22" t="str">
        <x:v>DIR</x:v>
      </x:c>
      <x:c r="F8" s="22" t="str">
        <x:v>3.3 V GPIO</x:v>
      </x:c>
      <x:c r="G8" s="22" t="str">
        <x:v>TB6600 input</x:v>
      </x:c>
      <x:c r="H8" s="22" t="str">
        <x:v>RIGHT_DIR=1, LEFT_DIR=0 from prior code</x:v>
      </x:c>
      <x:c r="I8" s="22" t="str">
        <x:v>USED</x:v>
      </x:c>
      <x:c r="J8" s="22" t="str">
        <x:f>IF(COUNTIF($A$5:$A$27,A8)&gt;1,"CLASH","OK")</x:f>
        <x:v>OK</x:v>
      </x:c>
    </x:row>
    <x:row r="9">
      <x:c r="A9" s="22" t="n">
        <x:v>6</x:v>
      </x:c>
      <x:c r="B9" s="22" t="str">
        <x:v>Steering</x:v>
      </x:c>
      <x:c r="C9" s="22" t="str">
        <x:v>TB6600 ENA+</x:v>
      </x:c>
      <x:c r="D9" s="22" t="str">
        <x:v>OUT</x:v>
      </x:c>
      <x:c r="E9" s="22" t="str">
        <x:v>ENABLE</x:v>
      </x:c>
      <x:c r="F9" s="22" t="str">
        <x:v>3.3 V GPIO</x:v>
      </x:c>
      <x:c r="G9" s="22" t="str">
        <x:v>TB6600 input</x:v>
      </x:c>
      <x:c r="H9" s="22" t="str">
        <x:v>Enable was active-low in prior setup</x:v>
      </x:c>
      <x:c r="I9" s="22" t="str">
        <x:v>USED</x:v>
      </x:c>
      <x:c r="J9" s="22" t="str">
        <x:f>IF(COUNTIF($A$5:$A$27,A9)&gt;1,"CLASH","OK")</x:f>
        <x:v>OK</x:v>
      </x:c>
    </x:row>
    <x:row r="10">
      <x:c r="A10" s="22" t="n">
        <x:v>7</x:v>
      </x:c>
      <x:c r="B10" s="22" t="str">
        <x:v>Safety</x:v>
      </x:c>
      <x:c r="C10" s="22" t="str">
        <x:v>E-stop auxiliary status</x:v>
      </x:c>
      <x:c r="D10" s="22" t="str">
        <x:v>IN</x:v>
      </x:c>
      <x:c r="E10" s="22" t="str">
        <x:v>Digital</x:v>
      </x:c>
      <x:c r="F10" s="22" t="str">
        <x:v>3.3 V max</x:v>
      </x:c>
      <x:c r="G10" s="22" t="str">
        <x:v>Isolated/conditioned auxiliary contact</x:v>
      </x:c>
      <x:c r="H10" s="22" t="str">
        <x:v>Monitor only — not kill path</x:v>
      </x:c>
      <x:c r="I10" s="22" t="str">
        <x:v>USED</x:v>
      </x:c>
      <x:c r="J10" s="22" t="str">
        <x:f>IF(COUNTIF($A$5:$A$27,A10)&gt;1,"CLASH","OK")</x:f>
        <x:v>OK</x:v>
      </x:c>
    </x:row>
    <x:row r="11">
      <x:c r="A11" s="22" t="n">
        <x:v>8</x:v>
      </x:c>
      <x:c r="B11" s="22" t="str">
        <x:v>Throttle / Config</x:v>
      </x:c>
      <x:c r="C11" s="22" t="str">
        <x:v>I²C SDA — GP8630N (+ TCA9548A if used)</x:v>
      </x:c>
      <x:c r="D11" s="22" t="str">
        <x:v>BIDIR</x:v>
      </x:c>
      <x:c r="E11" s="22" t="str">
        <x:v>I²C</x:v>
      </x:c>
      <x:c r="F11" s="22" t="str">
        <x:v>3.3 V</x:v>
      </x:c>
      <x:c r="G11" s="22" t="str">
        <x:v>Pull-ups to 3.3 V</x:v>
      </x:c>
      <x:c r="H11" s="22" t="str">
        <x:v>Initial bus rate 100 kHz</x:v>
      </x:c>
      <x:c r="I11" s="22" t="str">
        <x:v>USED</x:v>
      </x:c>
      <x:c r="J11" s="22" t="str">
        <x:f>IF(COUNTIF($A$5:$A$27,A11)&gt;1,"CLASH","OK")</x:f>
        <x:v>OK</x:v>
      </x:c>
    </x:row>
    <x:row r="12">
      <x:c r="A12" s="22" t="n">
        <x:v>9</x:v>
      </x:c>
      <x:c r="B12" s="22" t="str">
        <x:v>Throttle / Config</x:v>
      </x:c>
      <x:c r="C12" s="22" t="str">
        <x:v>I²C SCL — GP8630N (+ TCA9548A if used)</x:v>
      </x:c>
      <x:c r="D12" s="22" t="str">
        <x:v>OUT</x:v>
      </x:c>
      <x:c r="E12" s="22" t="str">
        <x:v>I²C</x:v>
      </x:c>
      <x:c r="F12" s="22" t="str">
        <x:v>3.3 V</x:v>
      </x:c>
      <x:c r="G12" s="22" t="str">
        <x:v>Pull-ups to 3.3 V</x:v>
      </x:c>
      <x:c r="H12" s="22" t="str">
        <x:v>Never pull I²C to 5 V</x:v>
      </x:c>
      <x:c r="I12" s="22" t="str">
        <x:v>USED</x:v>
      </x:c>
      <x:c r="J12" s="22" t="str">
        <x:f>IF(COUNTIF($A$5:$A$27,A12)&gt;1,"CLASH","OK")</x:f>
        <x:v>OK</x:v>
      </x:c>
    </x:row>
    <x:row r="13">
      <x:c r="A13" s="22" t="n">
        <x:v>10</x:v>
      </x:c>
      <x:c r="B13" s="22" t="str">
        <x:v>Brake</x:v>
      </x:c>
      <x:c r="C13" s="22" t="str">
        <x:v>TB6600 PUL+</x:v>
      </x:c>
      <x:c r="D13" s="22" t="str">
        <x:v>OUT</x:v>
      </x:c>
      <x:c r="E13" s="22" t="str">
        <x:v>STEP</x:v>
      </x:c>
      <x:c r="F13" s="22" t="str">
        <x:v>3.3 V GPIO</x:v>
      </x:c>
      <x:c r="G13" s="22" t="str">
        <x:v>TB6600 input</x:v>
      </x:c>
      <x:c r="H13" s="22" t="str">
        <x:v>Verify 3.3 V compatibility</x:v>
      </x:c>
      <x:c r="I13" s="22" t="str">
        <x:v>USED</x:v>
      </x:c>
      <x:c r="J13" s="22" t="str">
        <x:f>IF(COUNTIF($A$5:$A$27,A13)&gt;1,"CLASH","OK")</x:f>
        <x:v>OK</x:v>
      </x:c>
    </x:row>
    <x:row r="14">
      <x:c r="A14" s="22" t="n">
        <x:v>11</x:v>
      </x:c>
      <x:c r="B14" s="22" t="str">
        <x:v>Brake</x:v>
      </x:c>
      <x:c r="C14" s="22" t="str">
        <x:v>TB6600 DIR+</x:v>
      </x:c>
      <x:c r="D14" s="22" t="str">
        <x:v>OUT</x:v>
      </x:c>
      <x:c r="E14" s="22" t="str">
        <x:v>DIR</x:v>
      </x:c>
      <x:c r="F14" s="22" t="str">
        <x:v>3.3 V GPIO</x:v>
      </x:c>
      <x:c r="G14" s="22" t="str">
        <x:v>TB6600 input</x:v>
      </x:c>
      <x:c r="H14" s="22" t="str">
        <x:v>Mechanical direction from bench code</x:v>
      </x:c>
      <x:c r="I14" s="22" t="str">
        <x:v>USED</x:v>
      </x:c>
      <x:c r="J14" s="22" t="str">
        <x:f>IF(COUNTIF($A$5:$A$27,A14)&gt;1,"CLASH","OK")</x:f>
        <x:v>OK</x:v>
      </x:c>
    </x:row>
    <x:row r="15">
      <x:c r="A15" s="22" t="n">
        <x:v>12</x:v>
      </x:c>
      <x:c r="B15" s="22" t="str">
        <x:v>Brake</x:v>
      </x:c>
      <x:c r="C15" s="22" t="str">
        <x:v>TB6600 ENA+</x:v>
      </x:c>
      <x:c r="D15" s="22" t="str">
        <x:v>OUT</x:v>
      </x:c>
      <x:c r="E15" s="22" t="str">
        <x:v>ENABLE</x:v>
      </x:c>
      <x:c r="F15" s="22" t="str">
        <x:v>3.3 V GPIO</x:v>
      </x:c>
      <x:c r="G15" s="22" t="str">
        <x:v>TB6600 input</x:v>
      </x:c>
      <x:c r="H15" s="22" t="str">
        <x:v>Enable was active-low in prior setup</x:v>
      </x:c>
      <x:c r="I15" s="22" t="str">
        <x:v>USED</x:v>
      </x:c>
      <x:c r="J15" s="22" t="str">
        <x:f>IF(COUNTIF($A$5:$A$27,A15)&gt;1,"CLASH","OK")</x:f>
        <x:v>OK</x:v>
      </x:c>
    </x:row>
    <x:row r="16">
      <x:c r="A16" s="22" t="n">
        <x:v>13</x:v>
      </x:c>
      <x:c r="B16" s="22" t="str">
        <x:v>Steering feedback</x:v>
      </x:c>
      <x:c r="C16" s="22" t="str">
        <x:v>AS5600 PWM</x:v>
      </x:c>
      <x:c r="D16" s="22" t="str">
        <x:v>IN</x:v>
      </x:c>
      <x:c r="E16" s="22" t="str">
        <x:v>PWM</x:v>
      </x:c>
      <x:c r="F16" s="22" t="str">
        <x:v>0–3.3 V at S3</x:v>
      </x:c>
      <x:c r="G16" s="22" t="str">
        <x:v>MAX3485 RX if differential retained</x:v>
      </x:c>
      <x:c r="H16" s="22" t="str">
        <x:v>Calibrate before OTP</x:v>
      </x:c>
      <x:c r="I16" s="22" t="str">
        <x:v>USED</x:v>
      </x:c>
      <x:c r="J16" s="22" t="str">
        <x:f>IF(COUNTIF($A$5:$A$27,A16)&gt;1,"CLASH","OK")</x:f>
        <x:v>OK</x:v>
      </x:c>
    </x:row>
    <x:row r="17">
      <x:c r="A17" s="22" t="n">
        <x:v>14</x:v>
      </x:c>
      <x:c r="B17" s="22" t="str">
        <x:v>Brake feedback</x:v>
      </x:c>
      <x:c r="C17" s="22" t="str">
        <x:v>AS5600 PWM</x:v>
      </x:c>
      <x:c r="D17" s="22" t="str">
        <x:v>IN</x:v>
      </x:c>
      <x:c r="E17" s="22" t="str">
        <x:v>PWM</x:v>
      </x:c>
      <x:c r="F17" s="22" t="str">
        <x:v>0–3.3 V at S3</x:v>
      </x:c>
      <x:c r="G17" s="22" t="str">
        <x:v>MAX3485 RX if differential retained</x:v>
      </x:c>
      <x:c r="H17" s="22" t="str">
        <x:v>Calibrate before OTP</x:v>
      </x:c>
      <x:c r="I17" s="22" t="str">
        <x:v>USED</x:v>
      </x:c>
      <x:c r="J17" s="22" t="str">
        <x:f>IF(COUNTIF($A$5:$A$27,A17)&gt;1,"CLASH","OK")</x:f>
        <x:v>OK</x:v>
      </x:c>
    </x:row>
    <x:row r="18">
      <x:c r="A18" s="22" t="n">
        <x:v>15</x:v>
      </x:c>
      <x:c r="B18" s="22" t="str">
        <x:v>Rear axle encoder</x:v>
      </x:c>
      <x:c r="C18" s="22" t="str">
        <x:v>AS5047P A</x:v>
      </x:c>
      <x:c r="D18" s="22" t="str">
        <x:v>IN</x:v>
      </x:c>
      <x:c r="E18" s="22" t="str">
        <x:v>ABI / PCNT</x:v>
      </x:c>
      <x:c r="F18" s="22" t="str">
        <x:v>0–3.3 V at S3</x:v>
      </x:c>
      <x:c r="G18" s="22" t="str">
        <x:v>MAX3485 RX if differential retained</x:v>
      </x:c>
      <x:c r="H18" s="22" t="str">
        <x:v>Use hardware pulse counter</x:v>
      </x:c>
      <x:c r="I18" s="22" t="str">
        <x:v>USED</x:v>
      </x:c>
      <x:c r="J18" s="22" t="str">
        <x:f>IF(COUNTIF($A$5:$A$27,A18)&gt;1,"CLASH","OK")</x:f>
        <x:v>OK</x:v>
      </x:c>
    </x:row>
    <x:row r="19">
      <x:c r="A19" s="22" t="n">
        <x:v>16</x:v>
      </x:c>
      <x:c r="B19" s="22" t="str">
        <x:v>Rear axle encoder</x:v>
      </x:c>
      <x:c r="C19" s="22" t="str">
        <x:v>AS5047P B</x:v>
      </x:c>
      <x:c r="D19" s="22" t="str">
        <x:v>IN</x:v>
      </x:c>
      <x:c r="E19" s="22" t="str">
        <x:v>ABI / PCNT</x:v>
      </x:c>
      <x:c r="F19" s="22" t="str">
        <x:v>0–3.3 V at S3</x:v>
      </x:c>
      <x:c r="G19" s="22" t="str">
        <x:v>MAX3485 RX if differential retained</x:v>
      </x:c>
      <x:c r="H19" s="22" t="str">
        <x:v>Use hardware pulse counter</x:v>
      </x:c>
      <x:c r="I19" s="22" t="str">
        <x:v>USED</x:v>
      </x:c>
      <x:c r="J19" s="22" t="str">
        <x:f>IF(COUNTIF($A$5:$A$27,A19)&gt;1,"CLASH","OK")</x:f>
        <x:v>OK</x:v>
      </x:c>
    </x:row>
    <x:row r="20">
      <x:c r="A20" s="22" t="n">
        <x:v>17</x:v>
      </x:c>
      <x:c r="B20" s="22" t="str">
        <x:v>Rear axle encoder</x:v>
      </x:c>
      <x:c r="C20" s="22" t="str">
        <x:v>AS5047P Index I</x:v>
      </x:c>
      <x:c r="D20" s="22" t="str">
        <x:v>IN</x:v>
      </x:c>
      <x:c r="E20" s="22" t="str">
        <x:v>Index</x:v>
      </x:c>
      <x:c r="F20" s="22" t="str">
        <x:v>0–3.3 V at S3</x:v>
      </x:c>
      <x:c r="G20" s="22" t="str">
        <x:v>MAX3485 RX if differential retained</x:v>
      </x:c>
      <x:c r="H20" s="22" t="str">
        <x:v>Index reference</x:v>
      </x:c>
      <x:c r="I20" s="22" t="str">
        <x:v>USED</x:v>
      </x:c>
      <x:c r="J20" s="22" t="str">
        <x:f>IF(COUNTIF($A$5:$A$27,A20)&gt;1,"CLASH","OK")</x:f>
        <x:v>OK</x:v>
      </x:c>
    </x:row>
    <x:row r="21">
      <x:c r="A21" s="22" t="n">
        <x:v>18</x:v>
      </x:c>
      <x:c r="B21" s="22" t="str">
        <x:v>LoRa RA-02</x:v>
      </x:c>
      <x:c r="C21" s="22" t="str">
        <x:v>SCK</x:v>
      </x:c>
      <x:c r="D21" s="22" t="str">
        <x:v>OUT</x:v>
      </x:c>
      <x:c r="E21" s="22" t="str">
        <x:v>SPI</x:v>
      </x:c>
      <x:c r="F21" s="22" t="str">
        <x:v>3.3 V only</x:v>
      </x:c>
      <x:c r="G21" s="22" t="str">
        <x:v>Direct SPI</x:v>
      </x:c>
      <x:c r="H21" s="22" t="str">
        <x:v>RA-02 must never see 5 V</x:v>
      </x:c>
      <x:c r="I21" s="22" t="str">
        <x:v>USED</x:v>
      </x:c>
      <x:c r="J21" s="22" t="str">
        <x:f>IF(COUNTIF($A$5:$A$27,A21)&gt;1,"CLASH","OK")</x:f>
        <x:v>OK</x:v>
      </x:c>
    </x:row>
    <x:row r="22">
      <x:c r="A22" s="22" t="n">
        <x:v>21</x:v>
      </x:c>
      <x:c r="B22" s="22" t="str">
        <x:v>LoRa RA-02</x:v>
      </x:c>
      <x:c r="C22" s="22" t="str">
        <x:v>MOSI</x:v>
      </x:c>
      <x:c r="D22" s="22" t="str">
        <x:v>OUT</x:v>
      </x:c>
      <x:c r="E22" s="22" t="str">
        <x:v>SPI</x:v>
      </x:c>
      <x:c r="F22" s="22" t="str">
        <x:v>3.3 V only</x:v>
      </x:c>
      <x:c r="G22" s="22" t="str">
        <x:v>Direct SPI</x:v>
      </x:c>
      <x:c r="H22" s="22" t="str">
        <x:v>NSS must be defined through reset</x:v>
      </x:c>
      <x:c r="I22" s="22" t="str">
        <x:v>USED</x:v>
      </x:c>
      <x:c r="J22" s="22" t="str">
        <x:f>IF(COUNTIF($A$5:$A$27,A22)&gt;1,"CLASH","OK")</x:f>
        <x:v>OK</x:v>
      </x:c>
    </x:row>
    <x:row r="23">
      <x:c r="A23" s="22" t="n">
        <x:v>38</x:v>
      </x:c>
      <x:c r="B23" s="22" t="str">
        <x:v>LoRa RA-02</x:v>
      </x:c>
      <x:c r="C23" s="22" t="str">
        <x:v>NSS / CS</x:v>
      </x:c>
      <x:c r="D23" s="22" t="str">
        <x:v>OUT</x:v>
      </x:c>
      <x:c r="E23" s="22" t="str">
        <x:v>SPI CS</x:v>
      </x:c>
      <x:c r="F23" s="22" t="str">
        <x:v>3.3 V only</x:v>
      </x:c>
      <x:c r="G23" s="22" t="str">
        <x:v>External pull-up</x:v>
      </x:c>
      <x:c r="H23" s="22" t="str">
        <x:v>Hold HIGH during reset/boot</x:v>
      </x:c>
      <x:c r="I23" s="22" t="str">
        <x:v>USED</x:v>
      </x:c>
      <x:c r="J23" s="22" t="str">
        <x:f>IF(COUNTIF($A$5:$A$27,A23)&gt;1,"CLASH","OK")</x:f>
        <x:v>OK</x:v>
      </x:c>
    </x:row>
    <x:row r="24">
      <x:c r="A24" s="22" t="n">
        <x:v>39</x:v>
      </x:c>
      <x:c r="B24" s="22" t="str">
        <x:v>BLDC / BLD-750</x:v>
      </x:c>
      <x:c r="C24" s="22" t="str">
        <x:v>F/R</x:v>
      </x:c>
      <x:c r="D24" s="22" t="str">
        <x:v>OUT</x:v>
      </x:c>
      <x:c r="E24" s="22" t="str">
        <x:v>Discrete via transistor</x:v>
      </x:c>
      <x:c r="F24" s="22" t="str">
        <x:v>3.3 V GPIO → PN2222</x:v>
      </x:c>
      <x:c r="G24" s="22" t="str">
        <x:v>PN2222 + base resistor</x:v>
      </x:c>
      <x:c r="H24" s="22" t="str">
        <x:v>Set direction before enable</x:v>
      </x:c>
      <x:c r="I24" s="22" t="str">
        <x:v>USED</x:v>
      </x:c>
      <x:c r="J24" s="22" t="str">
        <x:f>IF(COUNTIF($A$5:$A$27,A24)&gt;1,"CLASH","OK")</x:f>
        <x:v>OK</x:v>
      </x:c>
    </x:row>
    <x:row r="25">
      <x:c r="A25" s="22" t="n">
        <x:v>41</x:v>
      </x:c>
      <x:c r="B25" s="22" t="str">
        <x:v>LoRa RA-02</x:v>
      </x:c>
      <x:c r="C25" s="22" t="str">
        <x:v>RESET</x:v>
      </x:c>
      <x:c r="D25" s="22" t="str">
        <x:v>OUT</x:v>
      </x:c>
      <x:c r="E25" s="22" t="str">
        <x:v>Digital</x:v>
      </x:c>
      <x:c r="F25" s="22" t="str">
        <x:v>3.3 V only</x:v>
      </x:c>
      <x:c r="G25" s="22" t="str">
        <x:v>Direct</x:v>
      </x:c>
      <x:c r="H25" s="22" t="str">
        <x:v>Deterministic reset behavior</x:v>
      </x:c>
      <x:c r="I25" s="22" t="str">
        <x:v>USED</x:v>
      </x:c>
      <x:c r="J25" s="22" t="str">
        <x:f>IF(COUNTIF($A$5:$A$27,A25)&gt;1,"CLASH","OK")</x:f>
        <x:v>OK</x:v>
      </x:c>
    </x:row>
    <x:row r="26">
      <x:c r="A26" s="22" t="n">
        <x:v>42</x:v>
      </x:c>
      <x:c r="B26" s="22" t="str">
        <x:v>LoRa RA-02</x:v>
      </x:c>
      <x:c r="C26" s="22" t="str">
        <x:v>DIO0 / IRQ</x:v>
      </x:c>
      <x:c r="D26" s="22" t="str">
        <x:v>IN</x:v>
      </x:c>
      <x:c r="E26" s="22" t="str">
        <x:v>Interrupt</x:v>
      </x:c>
      <x:c r="F26" s="22" t="str">
        <x:v>3.3 V only</x:v>
      </x:c>
      <x:c r="G26" s="22" t="str">
        <x:v>Direct</x:v>
      </x:c>
      <x:c r="H26" s="22" t="str">
        <x:v>3.3 V input</x:v>
      </x:c>
      <x:c r="I26" s="22" t="str">
        <x:v>USED</x:v>
      </x:c>
      <x:c r="J26" s="22" t="str">
        <x:f>IF(COUNTIF($A$5:$A$27,A26)&gt;1,"CLASH","OK")</x:f>
        <x:v>OK</x:v>
      </x:c>
    </x:row>
    <x:row r="27">
      <x:c r="A27" s="22" t="n">
        <x:v>47</x:v>
      </x:c>
      <x:c r="B27" s="22" t="str">
        <x:v>LoRa RA-02</x:v>
      </x:c>
      <x:c r="C27" s="22" t="str">
        <x:v>MISO</x:v>
      </x:c>
      <x:c r="D27" s="22" t="str">
        <x:v>IN</x:v>
      </x:c>
      <x:c r="E27" s="22" t="str">
        <x:v>SPI</x:v>
      </x:c>
      <x:c r="F27" s="22" t="str">
        <x:v>3.3 V only</x:v>
      </x:c>
      <x:c r="G27" s="22" t="str">
        <x:v>Direct</x:v>
      </x:c>
      <x:c r="H27" s="22" t="str">
        <x:v>3.3 V input</x:v>
      </x:c>
      <x:c r="I27" s="22" t="str">
        <x:v>USED</x:v>
      </x:c>
      <x:c r="J27" s="22" t="str">
        <x:f>IF(COUNTIF($A$5:$A$27,A27)&gt;1,"CLASH","OK")</x:f>
        <x:v>OK</x:v>
      </x:c>
    </x:row>
    <x:row r="30">
      <x:c r="A30" s="28" t="str">
        <x:v>Reserved / Avoid GPIOs</x:v>
      </x:c>
      <x:c r="B30" s="28"/>
      <x:c r="C30" s="28"/>
      <x:c r="D30" s="28"/>
      <x:c r="E30" s="28"/>
      <x:c r="F30" s="28"/>
      <x:c r="G30" s="28"/>
      <x:c r="H30" s="28"/>
      <x:c r="I30" s="28"/>
      <x:c r="J30" s="28"/>
    </x:row>
    <x:row r="31">
      <x:c r="A31" s="14" t="str">
        <x:v>GPIO(s)</x:v>
      </x:c>
      <x:c r="B31" s="14" t="str">
        <x:v>Reason</x:v>
      </x:c>
      <x:c r="C31" s="14" t="str">
        <x:v>Rule</x:v>
      </x:c>
      <x:c r="D31" s="14" t="str">
        <x:v>Status</x:v>
      </x:c>
    </x:row>
    <x:row r="32">
      <x:c r="A32" s="22" t="str">
        <x:v>0, 3, 45, 46</x:v>
      </x:c>
      <x:c r="B32" s="22" t="str">
        <x:v>Strapping / boot-sensitive</x:v>
      </x:c>
      <x:c r="C32" s="22" t="str">
        <x:v>Do not assign to actuators or safety outputs</x:v>
      </x:c>
      <x:c r="D32" s="22" t="str">
        <x:v>AVOID</x:v>
      </x:c>
    </x:row>
    <x:row r="33">
      <x:c r="A33" s="22" t="str">
        <x:v>19, 20</x:v>
      </x:c>
      <x:c r="B33" s="22" t="str">
        <x:v>USB-JTAG default use</x:v>
      </x:c>
      <x:c r="C33" s="22" t="str">
        <x:v>Reserve unless deliberately reconfigured and revalidated</x:v>
      </x:c>
      <x:c r="D33" s="22" t="str">
        <x:v>RESERVE</x:v>
      </x:c>
    </x:row>
    <x:row r="34">
      <x:c r="A34" s="22" t="str">
        <x:v>43, 44</x:v>
      </x:c>
      <x:c r="B34" s="22" t="str">
        <x:v>UART0 / console path on common dev-board setups</x:v>
      </x:c>
      <x:c r="C34" s="22" t="str">
        <x:v>Keep free for debug</x:v>
      </x:c>
      <x:c r="D34" s="22" t="str">
        <x:v>RESERVE</x:v>
      </x:c>
    </x:row>
    <x:row r="35">
      <x:c r="A35" s="22" t="str">
        <x:v>26–37</x:v>
      </x:c>
      <x:c r="B35" s="22" t="str">
        <x:v>Flash / PSRAM-related on many ESP32-S3 modules</x:v>
      </x:c>
      <x:c r="C35" s="22" t="str">
        <x:v>Avoid unless exact module schematic confirms availability</x:v>
      </x:c>
      <x:c r="D35" s="22" t="str">
        <x:v>AVOID</x:v>
      </x:c>
    </x:row>
  </x:sheetData>
  <x:mergeCells>
    <x:mergeCell ref="A1:J2"/>
    <x:mergeCell ref="A30:J30"/>
  </x:mergeCells>
  <x:conditionalFormatting sqref="J5:J27">
    <x:cfRule type="expression" dxfId="2" priority="1">
      <x:formula>J5="CLASH"</x:formula>
    </x:cfRule>
    <x:cfRule type="expression" dxfId="3" priority="2">
      <x:formula>J5="OK"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8" hidden="0" customWidth="1"/>
    <x:col min="3" max="3" width="16" hidden="0" customWidth="1"/>
    <x:col min="4" max="4" width="30" hidden="0" customWidth="1"/>
    <x:col min="5" max="5" width="31" hidden="0" customWidth="1"/>
    <x:col min="6" max="6" width="30" hidden="0" customWidth="1"/>
    <x:col min="7" max="7" width="34" hidden="0" customWidth="1"/>
    <x:col min="8" max="8" width="27" hidden="0" customWidth="1"/>
    <x:col min="9" max="9" width="39" hidden="0" customWidth="1"/>
    <x:col min="10" max="10" width="43" hidden="0" customWidth="1"/>
    <x:col min="11" max="11" width="12" hidden="0" customWidth="1"/>
  </x:cols>
  <x:sheetData>
    <x:row r="1" ht="24" customHeight="1">
      <x:c r="A1" s="5" t="str">
        <x:v>AutoKart Power Rail Budget — Prototype Rev A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24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4" ht="32" customHeight="1">
      <x:c r="A4" s="14" t="str">
        <x:v>Subsystem / Device</x:v>
      </x:c>
      <x:c r="B4" s="14" t="str">
        <x:v>Qty</x:v>
      </x:c>
      <x:c r="C4" s="14" t="str">
        <x:v>Supply Rail</x:v>
      </x:c>
      <x:c r="D4" s="14" t="str">
        <x:v>Supply / Input</x:v>
      </x:c>
      <x:c r="E4" s="14" t="str">
        <x:v>Known Current / Rating</x:v>
      </x:c>
      <x:c r="F4" s="14" t="str">
        <x:v>Design Allocation</x:v>
      </x:c>
      <x:c r="G4" s="14" t="str">
        <x:v>Protection / Conversion</x:v>
      </x:c>
      <x:c r="H4" s="14" t="str">
        <x:v>Ground / Return</x:v>
      </x:c>
      <x:c r="I4" s="14" t="str">
        <x:v>Signal-Level Note</x:v>
      </x:c>
      <x:c r="J4" s="14" t="str">
        <x:v>Verification Needed</x:v>
      </x:c>
      <x:c r="K4" s="14" t="str">
        <x:v>Status</x:v>
      </x:c>
    </x:row>
    <x:row r="5">
      <x:c r="A5" s="22" t="str">
        <x:v>BLD-750 motor driver</x:v>
      </x:c>
      <x:c r="B5" s="22" t="n">
        <x:v>1</x:v>
      </x:c>
      <x:c r="C5" s="22" t="str">
        <x:v>TRACTION</x:v>
      </x:c>
      <x:c r="D5" s="22" t="str">
        <x:v>48 V nominal; driver input 18–50 V</x:v>
      </x:c>
      <x:c r="E5" s="22" t="str">
        <x:v>Drive current output: 25 A rated, 45 A max</x:v>
      </x:c>
      <x:c r="F5" s="22" t="str">
        <x:v>TBD from actual motor + battery/BMS current</x:v>
      </x:c>
      <x:c r="G5" s="22" t="str">
        <x:v>Dedicated traction fuse + contactor; value NOT frozen</x:v>
      </x:c>
      <x:c r="H5" s="22" t="str">
        <x:v>Traction return / BLD COM as specified</x:v>
      </x:c>
      <x:c r="I5" s="22" t="str">
        <x:v>SV command configured 0–5 V unless exact BLD/J1 setup is confirmed for 0–10 V</x:v>
      </x:c>
      <x:c r="J5" s="22" t="str">
        <x:v>Measure actual continuous/peak pack current before cable/fuse/contactor sizing</x:v>
      </x:c>
      <x:c r="K5" s="22" t="str">
        <x:v>OPEN</x:v>
      </x:c>
    </x:row>
    <x:row r="6">
      <x:c r="A6" s="22" t="str">
        <x:v>Steering TB6600</x:v>
      </x:c>
      <x:c r="B6" s="22" t="n">
        <x:v>1</x:v>
      </x:c>
      <x:c r="C6" s="22" t="str">
        <x:v>24 V ACTUATOR</x:v>
      </x:c>
      <x:c r="D6" s="22" t="str">
        <x:v>24 V</x:v>
      </x:c>
      <x:c r="E6" s="22" t="str">
        <x:v>Exact driver/motor current setting not frozen without confirmed motor current</x:v>
      </x:c>
      <x:c r="F6" s="22" t="str">
        <x:v>Prototype branch fuse start: 5 A</x:v>
      </x:c>
      <x:c r="G6" s="22" t="str">
        <x:v>Dedicated fuse</x:v>
      </x:c>
      <x:c r="H6" s="22" t="str">
        <x:v>24 V actuator return</x:v>
      </x:c>
      <x:c r="I6" s="22" t="str">
        <x:v>STEP/DIR/ENA source is 3.3 V S3; verify exact TB6600 input-current compatibility</x:v>
      </x:c>
      <x:c r="J6" s="22" t="str">
        <x:v>Measure loaded input current + motor/driver temperature</x:v>
      </x:c>
      <x:c r="K6" s="22" t="str">
        <x:v>VERIFY</x:v>
      </x:c>
    </x:row>
    <x:row r="7">
      <x:c r="A7" s="22" t="str">
        <x:v>Brake TB6600</x:v>
      </x:c>
      <x:c r="B7" s="22" t="n">
        <x:v>1</x:v>
      </x:c>
      <x:c r="C7" s="22" t="str">
        <x:v>24 V ACTUATOR</x:v>
      </x:c>
      <x:c r="D7" s="22" t="str">
        <x:v>24 V</x:v>
      </x:c>
      <x:c r="E7" s="22" t="str">
        <x:v>Exact driver/motor current setting not frozen without confirmed motor current</x:v>
      </x:c>
      <x:c r="F7" s="22" t="str">
        <x:v>Prototype branch fuse start: 5 A</x:v>
      </x:c>
      <x:c r="G7" s="22" t="str">
        <x:v>Dedicated fuse</x:v>
      </x:c>
      <x:c r="H7" s="22" t="str">
        <x:v>24 V actuator return</x:v>
      </x:c>
      <x:c r="I7" s="22" t="str">
        <x:v>STEP/DIR/ENA source is 3.3 V S3; verify exact TB6600 input-current compatibility</x:v>
      </x:c>
      <x:c r="J7" s="22" t="str">
        <x:v>Measure loaded input current + motor/driver temperature</x:v>
      </x:c>
      <x:c r="K7" s="22" t="str">
        <x:v>VERIFY</x:v>
      </x:c>
    </x:row>
    <x:row r="8">
      <x:c r="A8" s="22" t="str">
        <x:v>ESP32-S3 dev board</x:v>
      </x:c>
      <x:c r="B8" s="22" t="n">
        <x:v>1</x:v>
      </x:c>
      <x:c r="C8" s="22" t="str">
        <x:v>5 V LOGIC</x:v>
      </x:c>
      <x:c r="D8" s="22" t="str">
        <x:v>5 V input from DC/DC</x:v>
      </x:c>
      <x:c r="E8" s="22" t="str">
        <x:v>Exact board peak not frozen here</x:v>
      </x:c>
      <x:c r="F8" s="22" t="str">
        <x:v>5 V DC/DC sized ≥3 A for total 5 V domain</x:v>
      </x:c>
      <x:c r="G8" s="22" t="str">
        <x:v>24 V → 5 V regulated DC/DC ≥3 A</x:v>
      </x:c>
      <x:c r="H8" s="22" t="str">
        <x:v>Logic ground</x:v>
      </x:c>
      <x:c r="I8" s="22" t="str">
        <x:v>GPIO is 3.3 V logic; no 5 V into GPIO</x:v>
      </x:c>
      <x:c r="J8" s="22" t="str">
        <x:v>Measure 5 V sag during simultaneous switching/RF activity</x:v>
      </x:c>
      <x:c r="K8" s="22" t="str">
        <x:v>FROZEN</x:v>
      </x:c>
    </x:row>
    <x:row r="9">
      <x:c r="A9" s="22" t="str">
        <x:v>Dedicated 3.3 V regulator</x:v>
      </x:c>
      <x:c r="B9" s="22" t="n">
        <x:v>1</x:v>
      </x:c>
      <x:c r="C9" s="22" t="str">
        <x:v>3.3 V LOGIC</x:v>
      </x:c>
      <x:c r="D9" s="22" t="str">
        <x:v>5 V → 3.3 V</x:v>
      </x:c>
      <x:c r="E9" s="22" t="str">
        <x:v>Rail capacity ≥1 A</x:v>
      </x:c>
      <x:c r="F9" s="22" t="str">
        <x:v>≥1 A continuous regulator capacity</x:v>
      </x:c>
      <x:c r="G9" s="22" t="str">
        <x:v>Dedicated regulator — not S3 onboard 3.3 V rail</x:v>
      </x:c>
      <x:c r="H9" s="22" t="str">
        <x:v>Logic ground</x:v>
      </x:c>
      <x:c r="I9" s="22" t="str">
        <x:v>Feeds RA-02 + encoder/transceiver logic</x:v>
      </x:c>
      <x:c r="J9" s="22" t="str">
        <x:v>Thermal check at worst-case load</x:v>
      </x:c>
      <x:c r="K9" s="22" t="str">
        <x:v>FROZEN</x:v>
      </x:c>
    </x:row>
    <x:row r="10">
      <x:c r="A10" s="22" t="str">
        <x:v>RA-02 / SX1278</x:v>
      </x:c>
      <x:c r="B10" s="22" t="n">
        <x:v>1</x:v>
      </x:c>
      <x:c r="C10" s="22" t="str">
        <x:v>3.3 V LOGIC</x:v>
      </x:c>
      <x:c r="D10" s="22" t="str">
        <x:v>3.3 V ONLY</x:v>
      </x:c>
      <x:c r="E10" s="22" t="str">
        <x:v>Transient TX current needs headroom; exact peak not frozen here</x:v>
      </x:c>
      <x:c r="F10" s="22" t="str">
        <x:v>Included inside ≥1 A 3.3 V rail</x:v>
      </x:c>
      <x:c r="G10" s="22" t="str">
        <x:v>100 nF + 10 µF local decoupling</x:v>
      </x:c>
      <x:c r="H10" s="22" t="str">
        <x:v>Logic ground</x:v>
      </x:c>
      <x:c r="I10" s="22" t="str">
        <x:v>SPI/DIO are 3.3 V only</x:v>
      </x:c>
      <x:c r="J10" s="22" t="str">
        <x:v>Scope 3.3 V during TX burst</x:v>
      </x:c>
      <x:c r="K10" s="22" t="str">
        <x:v>FROZEN</x:v>
      </x:c>
    </x:row>
    <x:row r="11">
      <x:c r="A11" s="22" t="str">
        <x:v>GP8630N DAC</x:v>
      </x:c>
      <x:c r="B11" s="22" t="n">
        <x:v>1</x:v>
      </x:c>
      <x:c r="C11" s="22" t="str">
        <x:v>3.3 V LOGIC</x:v>
      </x:c>
      <x:c r="D11" s="22" t="str">
        <x:v>3.3 V logic supply</x:v>
      </x:c>
      <x:c r="E11" s="22" t="str">
        <x:v>Low-current logic load; exact current not frozen here</x:v>
      </x:c>
      <x:c r="F11" s="22" t="str">
        <x:v>Included inside ≥1 A 3.3 V rail</x:v>
      </x:c>
      <x:c r="G11" s="22" t="str">
        <x:v>Local decoupling + analog output protection</x:v>
      </x:c>
      <x:c r="H11" s="22" t="str">
        <x:v>Logic ground + BLD COM for analog reference</x:v>
      </x:c>
      <x:c r="I11" s="22" t="str">
        <x:v>I²C 3.3 V; OUT configured 0–5 V to BLD SV</x:v>
      </x:c>
      <x:c r="J11" s="22" t="str">
        <x:v>Verify 0 V and full-scale output</x:v>
      </x:c>
      <x:c r="K11" s="22" t="str">
        <x:v>FROZEN</x:v>
      </x:c>
    </x:row>
    <x:row r="12">
      <x:c r="A12" s="22" t="str">
        <x:v>AS5600 steering</x:v>
      </x:c>
      <x:c r="B12" s="22" t="n">
        <x:v>1</x:v>
      </x:c>
      <x:c r="C12" s="22" t="str">
        <x:v>3.3 V LOGIC</x:v>
      </x:c>
      <x:c r="D12" s="22" t="str">
        <x:v>3.3 V operation</x:v>
      </x:c>
      <x:c r="E12" s="22" t="str">
        <x:v>Exact current not frozen here</x:v>
      </x:c>
      <x:c r="F12" s="22" t="str">
        <x:v>Included inside ≥1 A 3.3 V rail</x:v>
      </x:c>
      <x:c r="G12" s="22" t="str">
        <x:v>Local decoupling</x:v>
      </x:c>
      <x:c r="H12" s="22" t="str">
        <x:v>Logic ground</x:v>
      </x:c>
      <x:c r="I12" s="22" t="str">
        <x:v>PWM / I²C kept in 3.3 V domain</x:v>
      </x:c>
      <x:c r="J12" s="22" t="str">
        <x:v>Calibrate min/center/max before OTP</x:v>
      </x:c>
      <x:c r="K12" s="22" t="str">
        <x:v>FROZEN</x:v>
      </x:c>
    </x:row>
    <x:row r="13">
      <x:c r="A13" s="22" t="str">
        <x:v>AS5600 brake</x:v>
      </x:c>
      <x:c r="B13" s="22" t="n">
        <x:v>1</x:v>
      </x:c>
      <x:c r="C13" s="22" t="str">
        <x:v>3.3 V LOGIC</x:v>
      </x:c>
      <x:c r="D13" s="22" t="str">
        <x:v>3.3 V operation</x:v>
      </x:c>
      <x:c r="E13" s="22" t="str">
        <x:v>Exact current not frozen here</x:v>
      </x:c>
      <x:c r="F13" s="22" t="str">
        <x:v>Included inside ≥1 A 3.3 V rail</x:v>
      </x:c>
      <x:c r="G13" s="22" t="str">
        <x:v>Local decoupling</x:v>
      </x:c>
      <x:c r="H13" s="22" t="str">
        <x:v>Logic ground</x:v>
      </x:c>
      <x:c r="I13" s="22" t="str">
        <x:v>PWM / I²C kept in 3.3 V domain</x:v>
      </x:c>
      <x:c r="J13" s="22" t="str">
        <x:v>Calibrate released/full-brake before OTP</x:v>
      </x:c>
      <x:c r="K13" s="22" t="str">
        <x:v>FROZEN</x:v>
      </x:c>
    </x:row>
    <x:row r="14">
      <x:c r="A14" s="22" t="str">
        <x:v>AS5047P rear axle</x:v>
      </x:c>
      <x:c r="B14" s="22" t="n">
        <x:v>1</x:v>
      </x:c>
      <x:c r="C14" s="22" t="str">
        <x:v>3.3 V LOGIC</x:v>
      </x:c>
      <x:c r="D14" s="22" t="str">
        <x:v>3.3 V operation in this design</x:v>
      </x:c>
      <x:c r="E14" s="22" t="str">
        <x:v>Exact current not frozen here</x:v>
      </x:c>
      <x:c r="F14" s="22" t="str">
        <x:v>Included inside ≥1 A 3.3 V rail</x:v>
      </x:c>
      <x:c r="G14" s="22" t="str">
        <x:v>Local decoupling</x:v>
      </x:c>
      <x:c r="H14" s="22" t="str">
        <x:v>Logic ground</x:v>
      </x:c>
      <x:c r="I14" s="22" t="str">
        <x:v>A/B/I received into S3 as 3.3 V logic</x:v>
      </x:c>
      <x:c r="J14" s="22" t="str">
        <x:v>Verify counts/rev, direction, maximum pulse rate</x:v>
      </x:c>
      <x:c r="K14" s="22" t="str">
        <x:v>FROZEN</x:v>
      </x:c>
    </x:row>
    <x:row r="15">
      <x:c r="A15" s="22" t="str">
        <x:v>MAX3485 transceivers</x:v>
      </x:c>
      <x:c r="B15" s="22" t="str">
        <x:v>As fitted</x:v>
      </x:c>
      <x:c r="C15" s="22" t="str">
        <x:v>3.3 V LOGIC</x:v>
      </x:c>
      <x:c r="D15" s="22" t="str">
        <x:v>3.3 V</x:v>
      </x:c>
      <x:c r="E15" s="22" t="str">
        <x:v>Total current depends on installed count</x:v>
      </x:c>
      <x:c r="F15" s="22" t="str">
        <x:v>Included inside ≥1 A 3.3 V rail</x:v>
      </x:c>
      <x:c r="G15" s="22" t="str">
        <x:v>Termination/bias only as required by actual link topology</x:v>
      </x:c>
      <x:c r="H15" s="22" t="str">
        <x:v>Logic ground / differential pair</x:v>
      </x:c>
      <x:c r="I15" s="22" t="str">
        <x:v>3.3 V-native; no 5 V level shifting needed</x:v>
      </x:c>
      <x:c r="J15" s="22" t="str">
        <x:v>Confirm actual count after harness simplification</x:v>
      </x:c>
      <x:c r="K15" s="22" t="str">
        <x:v>VERIFY</x:v>
      </x:c>
    </x:row>
    <x:row r="16">
      <x:c r="A16" s="22" t="str">
        <x:v>PN2222 BLDC control interface</x:v>
      </x:c>
      <x:c r="B16" s="22" t="n">
        <x:v>3</x:v>
      </x:c>
      <x:c r="C16" s="22" t="str">
        <x:v>3.3 V GPIO / BLD control</x:v>
      </x:c>
      <x:c r="D16" s="22" t="str">
        <x:v>S3 base drive; BLD side through transistor</x:v>
      </x:c>
      <x:c r="E16" s="22" t="str">
        <x:v>Base current set by resistor</x:v>
      </x:c>
      <x:c r="F16" s="22" t="str">
        <x:v>Negligible vs motor power rails</x:v>
      </x:c>
      <x:c r="G16" s="22" t="str">
        <x:v>Base resistor + defined pull state</x:v>
      </x:c>
      <x:c r="H16" s="22" t="str">
        <x:v>Logic GND / BLD COM interface as wired</x:v>
      </x:c>
      <x:c r="I16" s="22" t="str">
        <x:v>Prevents BLD control terminals from being tied directly to S3</x:v>
      </x:c>
      <x:c r="J16" s="22" t="str">
        <x:v>Verify EN/BRK/F-R truth table before motor power</x:v>
      </x:c>
      <x:c r="K16" s="22" t="str">
        <x:v>VERIFY</x:v>
      </x:c>
    </x:row>
    <x:row r="17">
      <x:c r="A17" s="22" t="str">
        <x:v>Safety relay / contactor coil</x:v>
      </x:c>
      <x:c r="B17" s="22" t="n">
        <x:v>1</x:v>
      </x:c>
      <x:c r="C17" s="22" t="str">
        <x:v>SAFETY</x:v>
      </x:c>
      <x:c r="D17" s="22" t="str">
        <x:v>TBD — actual coil voltage not specified</x:v>
      </x:c>
      <x:c r="E17" s="22" t="str">
        <x:v>TBD</x:v>
      </x:c>
      <x:c r="F17" s="22" t="str">
        <x:v>TBD</x:v>
      </x:c>
      <x:c r="G17" s="22" t="str">
        <x:v>Independent fused safety branch</x:v>
      </x:c>
      <x:c r="H17" s="22" t="str">
        <x:v>Safety return</x:v>
      </x:c>
      <x:c r="I17" s="22" t="str">
        <x:v>Independent of firmware</x:v>
      </x:c>
      <x:c r="J17" s="22" t="str">
        <x:v>Select actual contactor/relay, then finalize coil rail/current</x:v>
      </x:c>
      <x:c r="K17" s="22" t="str">
        <x:v>OPEN</x:v>
      </x:c>
    </x:row>
    <x:row r="20">
      <x:c r="A20" s="28" t="str">
        <x:v>Power Tree Summary</x:v>
      </x:c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</x:row>
    <x:row r="21">
      <x:c r="A21" s="22" t="str">
        <x:v>48 V traction</x:v>
      </x:c>
      <x:c r="B21" s="22" t="str">
        <x:v>Battery / traction source</x:v>
      </x:c>
      <x:c r="C21" s="22" t="str">
        <x:v>BLD-750 only</x:v>
      </x:c>
      <x:c r="D21" s="22" t="str">
        <x:v>Fuse + contactor TBD after current measurement</x:v>
      </x:c>
    </x:row>
    <x:row r="22">
      <x:c r="A22" s="22" t="str">
        <x:v>24 V actuator</x:v>
      </x:c>
      <x:c r="B22" s="22" t="str">
        <x:v>Dedicated actuator source</x:v>
      </x:c>
      <x:c r="C22" s="22" t="str">
        <x:v>Steering TB6600 + Brake TB6600</x:v>
      </x:c>
      <x:c r="D22" s="22" t="str">
        <x:v>Separate fused branches</x:v>
      </x:c>
    </x:row>
    <x:row r="23">
      <x:c r="A23" s="22" t="str">
        <x:v>5 V logic</x:v>
      </x:c>
      <x:c r="B23" s="22" t="str">
        <x:v>24→5 V DC/DC ≥3 A</x:v>
      </x:c>
      <x:c r="C23" s="22" t="str">
        <x:v>ESP32-S3 + feeds 3.3 V regulator</x:v>
      </x:c>
      <x:c r="D23" s="22" t="str">
        <x:v>Measure sag under simultaneous load</x:v>
      </x:c>
    </x:row>
    <x:row r="24">
      <x:c r="A24" s="22" t="str">
        <x:v>3.3 V logic</x:v>
      </x:c>
      <x:c r="B24" s="22" t="str">
        <x:v>Dedicated regulator ≥1 A</x:v>
      </x:c>
      <x:c r="C24" s="22" t="str">
        <x:v>RA-02, encoder logic, MAX3485, GP8630N logic, optional TCA9548A</x:v>
      </x:c>
      <x:c r="D24" s="22" t="str">
        <x:v>Do not use S3 onboard regulator as shared system rail</x:v>
      </x:c>
    </x:row>
  </x:sheetData>
  <x:mergeCells>
    <x:mergeCell ref="A1:K2"/>
    <x:mergeCell ref="A20:K20"/>
  </x:mergeCells>
  <x:conditionalFormatting sqref="K5:K17">
    <x:cfRule type="expression" dxfId="4" priority="1">
      <x:formula>K5="FROZEN"</x:formula>
    </x:cfRule>
    <x:cfRule type="expression" dxfId="5" priority="2">
      <x:formula>K5="VERIFY"</x:formula>
    </x:cfRule>
    <x:cfRule type="expression" dxfId="6" priority="3">
      <x:formula>K5="OPEN"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4" hidden="0" customWidth="1"/>
    <x:col min="3" max="3" width="24" hidden="0" customWidth="1"/>
    <x:col min="4" max="4" width="24" hidden="0" customWidth="1"/>
    <x:col min="5" max="5" width="20" hidden="0" customWidth="1"/>
    <x:col min="6" max="6" width="18" hidden="0" customWidth="1"/>
    <x:col min="7" max="7" width="22" hidden="0" customWidth="1"/>
    <x:col min="8" max="8" width="32" hidden="0" customWidth="1"/>
    <x:col min="9" max="9" width="36" hidden="0" customWidth="1"/>
    <x:col min="10" max="10" width="38" hidden="0" customWidth="1"/>
  </x:cols>
  <x:sheetData>
    <x:row r="1" ht="24" customHeight="1">
      <x:c r="A1" s="5" t="str">
        <x:v>Signal / Interface Electrical Budget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4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</x:row>
    <x:row r="4" ht="32" customHeight="1">
      <x:c r="A4" s="14" t="str">
        <x:v>Link</x:v>
      </x:c>
      <x:c r="B4" s="14" t="str">
        <x:v>Source</x:v>
      </x:c>
      <x:c r="C4" s="14" t="str">
        <x:v>Destination</x:v>
      </x:c>
      <x:c r="D4" s="14" t="str">
        <x:v>Protocol / Type</x:v>
      </x:c>
      <x:c r="E4" s="14" t="str">
        <x:v>Rate / Setting</x:v>
      </x:c>
      <x:c r="F4" s="14" t="str">
        <x:v>Source Level</x:v>
      </x:c>
      <x:c r="G4" s="14" t="str">
        <x:v>Destination Limit</x:v>
      </x:c>
      <x:c r="H4" s="14" t="str">
        <x:v>Conditioning</x:v>
      </x:c>
      <x:c r="I4" s="14" t="str">
        <x:v>Failure / Risk</x:v>
      </x:c>
      <x:c r="J4" s="14" t="str">
        <x:v>Required Check</x:v>
      </x:c>
    </x:row>
    <x:row r="5">
      <x:c r="A5" s="22" t="str">
        <x:v>Throttle command</x:v>
      </x:c>
      <x:c r="B5" s="22" t="str">
        <x:v>ESP32-S3 GPIO8/9</x:v>
      </x:c>
      <x:c r="C5" s="22" t="str">
        <x:v>GP8630N</x:v>
      </x:c>
      <x:c r="D5" s="22" t="str">
        <x:v>I²C</x:v>
      </x:c>
      <x:c r="E5" s="22" t="str">
        <x:v>100 kHz initial</x:v>
      </x:c>
      <x:c r="F5" s="22" t="str">
        <x:v>3.3 V</x:v>
      </x:c>
      <x:c r="G5" s="22" t="str">
        <x:v>3.3 V bus in this design</x:v>
      </x:c>
      <x:c r="H5" s="22" t="str">
        <x:v>Pull-ups to 3.3 V</x:v>
      </x:c>
      <x:c r="I5" s="22" t="str">
        <x:v>5 V pull-up can overstress S3 GPIO</x:v>
      </x:c>
      <x:c r="J5" s="22" t="str">
        <x:v>Measure idle HIGH voltage</x:v>
      </x:c>
    </x:row>
    <x:row r="6">
      <x:c r="A6" s="22" t="str">
        <x:v>Analog speed command</x:v>
      </x:c>
      <x:c r="B6" s="22" t="str">
        <x:v>GP8630N OUT</x:v>
      </x:c>
      <x:c r="C6" s="22" t="str">
        <x:v>BLD-750 SV</x:v>
      </x:c>
      <x:c r="D6" s="22" t="str">
        <x:v>Analog</x:v>
      </x:c>
      <x:c r="E6" s="22" t="str">
        <x:v>0–5 V configured</x:v>
      </x:c>
      <x:c r="F6" s="22" t="str">
        <x:v>0–5 V</x:v>
      </x:c>
      <x:c r="G6" s="22" t="str">
        <x:v>Confirm exact BLD SV range / J1 setting</x:v>
      </x:c>
      <x:c r="H6" s="22" t="str">
        <x:v>Series protection/clamp</x:v>
      </x:c>
      <x:c r="I6" s="22" t="str">
        <x:v>Wrong full-scale can over-command speed</x:v>
      </x:c>
      <x:c r="J6" s="22" t="str">
        <x:v>Scope full command range before motor enable</x:v>
      </x:c>
    </x:row>
    <x:row r="7">
      <x:c r="A7" s="22" t="str">
        <x:v>BLD EN</x:v>
      </x:c>
      <x:c r="B7" s="22" t="str">
        <x:v>GPIO1</x:v>
      </x:c>
      <x:c r="C7" s="22" t="str">
        <x:v>BLD-750 EN</x:v>
      </x:c>
      <x:c r="D7" s="22" t="str">
        <x:v>Discrete via PN2222</x:v>
      </x:c>
      <x:c r="E7" s="22" t="str">
        <x:v>State change</x:v>
      </x:c>
      <x:c r="F7" s="22" t="str">
        <x:v>3.3 V GPIO</x:v>
      </x:c>
      <x:c r="G7" s="22" t="str">
        <x:v>Not directly tied to S3</x:v>
      </x:c>
      <x:c r="H7" s="22" t="str">
        <x:v>Transistor + base resistor</x:v>
      </x:c>
      <x:c r="I7" s="22" t="str">
        <x:v>Wrong polarity/default can enable unexpectedly</x:v>
      </x:c>
      <x:c r="J7" s="22" t="str">
        <x:v>Power-off + powered truth-table test</x:v>
      </x:c>
    </x:row>
    <x:row r="8">
      <x:c r="A8" s="22" t="str">
        <x:v>BLD BRK</x:v>
      </x:c>
      <x:c r="B8" s="22" t="str">
        <x:v>GPIO2</x:v>
      </x:c>
      <x:c r="C8" s="22" t="str">
        <x:v>BLD-750 BRK</x:v>
      </x:c>
      <x:c r="D8" s="22" t="str">
        <x:v>Discrete via PN2222</x:v>
      </x:c>
      <x:c r="E8" s="22" t="str">
        <x:v>State change</x:v>
      </x:c>
      <x:c r="F8" s="22" t="str">
        <x:v>3.3 V GPIO</x:v>
      </x:c>
      <x:c r="G8" s="22" t="str">
        <x:v>Not directly tied to S3</x:v>
      </x:c>
      <x:c r="H8" s="22" t="str">
        <x:v>Transistor + base resistor</x:v>
      </x:c>
      <x:c r="I8" s="22" t="str">
        <x:v>Wrong polarity can defeat braking</x:v>
      </x:c>
      <x:c r="J8" s="22" t="str">
        <x:v>Wheels-off-ground truth-table test</x:v>
      </x:c>
    </x:row>
    <x:row r="9">
      <x:c r="A9" s="22" t="str">
        <x:v>BLD F/R</x:v>
      </x:c>
      <x:c r="B9" s="22" t="str">
        <x:v>GPIO39</x:v>
      </x:c>
      <x:c r="C9" s="22" t="str">
        <x:v>BLD-750 F/R</x:v>
      </x:c>
      <x:c r="D9" s="22" t="str">
        <x:v>Discrete via PN2222</x:v>
      </x:c>
      <x:c r="E9" s="22" t="str">
        <x:v>Change only at zero command</x:v>
      </x:c>
      <x:c r="F9" s="22" t="str">
        <x:v>3.3 V GPIO</x:v>
      </x:c>
      <x:c r="G9" s="22" t="str">
        <x:v>Not directly tied to S3</x:v>
      </x:c>
      <x:c r="H9" s="22" t="str">
        <x:v>Transistor + base resistor</x:v>
      </x:c>
      <x:c r="I9" s="22" t="str">
        <x:v>Direction reversal under torque is unsafe</x:v>
      </x:c>
      <x:c r="J9" s="22" t="str">
        <x:v>Interlock: zero throttle before direction change</x:v>
      </x:c>
    </x:row>
    <x:row r="10">
      <x:c r="A10" s="22" t="str">
        <x:v>Steering STEP/DIR/ENA</x:v>
      </x:c>
      <x:c r="B10" s="22" t="str">
        <x:v>GPIO4/5/6</x:v>
      </x:c>
      <x:c r="C10" s="22" t="str">
        <x:v>Steering TB6600</x:v>
      </x:c>
      <x:c r="D10" s="22" t="str">
        <x:v>Digital stepper</x:v>
      </x:c>
      <x:c r="E10" s="22" t="str">
        <x:v>Per motion profile</x:v>
      </x:c>
      <x:c r="F10" s="22" t="str">
        <x:v>3.3 V GPIO</x:v>
      </x:c>
      <x:c r="G10" s="22" t="str">
        <x:v>Exact TB6600 module varies</x:v>
      </x:c>
      <x:c r="H10" s="22" t="str">
        <x:v>Direct only if measured reliable; otherwise driver/transistor</x:v>
      </x:c>
      <x:c r="I10" s="22" t="str">
        <x:v>Missed pulses / no enable</x:v>
      </x:c>
      <x:c r="J10" s="22" t="str">
        <x:v>Scope at TB6600 + loaded motion test</x:v>
      </x:c>
    </x:row>
    <x:row r="11">
      <x:c r="A11" s="22" t="str">
        <x:v>Brake STEP/DIR/ENA</x:v>
      </x:c>
      <x:c r="B11" s="22" t="str">
        <x:v>GPIO10/11/12</x:v>
      </x:c>
      <x:c r="C11" s="22" t="str">
        <x:v>Brake TB6600</x:v>
      </x:c>
      <x:c r="D11" s="22" t="str">
        <x:v>Digital stepper</x:v>
      </x:c>
      <x:c r="E11" s="22" t="str">
        <x:v>Per motion profile</x:v>
      </x:c>
      <x:c r="F11" s="22" t="str">
        <x:v>3.3 V GPIO</x:v>
      </x:c>
      <x:c r="G11" s="22" t="str">
        <x:v>Exact TB6600 module varies</x:v>
      </x:c>
      <x:c r="H11" s="22" t="str">
        <x:v>Direct only if measured reliable; otherwise driver/transistor</x:v>
      </x:c>
      <x:c r="I11" s="22" t="str">
        <x:v>Missed steps can reduce brake force</x:v>
      </x:c>
      <x:c r="J11" s="22" t="str">
        <x:v>Loaded brake-force + feedback test</x:v>
      </x:c>
    </x:row>
    <x:row r="12">
      <x:c r="A12" s="22" t="str">
        <x:v>Steering angle feedback</x:v>
      </x:c>
      <x:c r="B12" s="22" t="str">
        <x:v>AS5600 PWM</x:v>
      </x:c>
      <x:c r="C12" s="22" t="str">
        <x:v>GPIO13</x:v>
      </x:c>
      <x:c r="D12" s="22" t="str">
        <x:v>PWM</x:v>
      </x:c>
      <x:c r="E12" s="22" t="str">
        <x:v>Configured sensor output</x:v>
      </x:c>
      <x:c r="F12" s="22" t="str">
        <x:v>3.3 V domain</x:v>
      </x:c>
      <x:c r="G12" s="22" t="str">
        <x:v>3.3 V S3 GPIO</x:v>
      </x:c>
      <x:c r="H12" s="22" t="str">
        <x:v>MAX3485 differential if retained</x:v>
      </x:c>
      <x:c r="I12" s="22" t="str">
        <x:v>No / corrupted feedback</x:v>
      </x:c>
      <x:c r="J12" s="22" t="str">
        <x:v>Verify min-center-max duty + direction</x:v>
      </x:c>
    </x:row>
    <x:row r="13">
      <x:c r="A13" s="22" t="str">
        <x:v>Brake angle feedback</x:v>
      </x:c>
      <x:c r="B13" s="22" t="str">
        <x:v>AS5600 PWM</x:v>
      </x:c>
      <x:c r="C13" s="22" t="str">
        <x:v>GPIO14</x:v>
      </x:c>
      <x:c r="D13" s="22" t="str">
        <x:v>PWM</x:v>
      </x:c>
      <x:c r="E13" s="22" t="str">
        <x:v>Configured sensor output</x:v>
      </x:c>
      <x:c r="F13" s="22" t="str">
        <x:v>3.3 V domain</x:v>
      </x:c>
      <x:c r="G13" s="22" t="str">
        <x:v>3.3 V S3 GPIO</x:v>
      </x:c>
      <x:c r="H13" s="22" t="str">
        <x:v>MAX3485 differential if retained</x:v>
      </x:c>
      <x:c r="I13" s="22" t="str">
        <x:v>Wrong calibration</x:v>
      </x:c>
      <x:c r="J13" s="22" t="str">
        <x:v>Verify released-to-full-brake duty</x:v>
      </x:c>
    </x:row>
    <x:row r="14">
      <x:c r="A14" s="22" t="str">
        <x:v>Rear axle A/B/I</x:v>
      </x:c>
      <x:c r="B14" s="22" t="str">
        <x:v>AS5047P</x:v>
      </x:c>
      <x:c r="C14" s="22" t="str">
        <x:v>GPIO15/16/17</x:v>
      </x:c>
      <x:c r="D14" s="22" t="str">
        <x:v>ABI / index</x:v>
      </x:c>
      <x:c r="E14" s="22" t="str">
        <x:v>Hardware PCNT</x:v>
      </x:c>
      <x:c r="F14" s="22" t="str">
        <x:v>3.3 V domain</x:v>
      </x:c>
      <x:c r="G14" s="22" t="str">
        <x:v>3.3 V S3 GPIO</x:v>
      </x:c>
      <x:c r="H14" s="22" t="str">
        <x:v>MAX3485 RX if retained</x:v>
      </x:c>
      <x:c r="I14" s="22" t="str">
        <x:v>Missed counts / wrong direction</x:v>
      </x:c>
      <x:c r="J14" s="22" t="str">
        <x:v>Max-RPM count validation</x:v>
      </x:c>
    </x:row>
    <x:row r="15">
      <x:c r="A15" s="22" t="str">
        <x:v>LoRa SPI</x:v>
      </x:c>
      <x:c r="B15" s="22" t="str">
        <x:v>ESP32-S3</x:v>
      </x:c>
      <x:c r="C15" s="22" t="str">
        <x:v>RA-02</x:v>
      </x:c>
      <x:c r="D15" s="22" t="str">
        <x:v>SPI + IRQ</x:v>
      </x:c>
      <x:c r="E15" s="22" t="str">
        <x:v>Firmware-defined</x:v>
      </x:c>
      <x:c r="F15" s="22" t="str">
        <x:v>3.3 V</x:v>
      </x:c>
      <x:c r="G15" s="22" t="str">
        <x:v>3.3 V only</x:v>
      </x:c>
      <x:c r="H15" s="22" t="str">
        <x:v>GPIO38 NSS pull-up</x:v>
      </x:c>
      <x:c r="I15" s="22" t="str">
        <x:v>5 V damages RA-02; CS glitch</x:v>
      </x:c>
      <x:c r="J15" s="22" t="str">
        <x:v>Confirm 3.3 V VCC and CS high during reset</x:v>
      </x:c>
    </x:row>
    <x:row r="16">
      <x:c r="A16" s="22" t="str">
        <x:v>E-stop status</x:v>
      </x:c>
      <x:c r="B16" s="22" t="str">
        <x:v>Aux contact / isolator</x:v>
      </x:c>
      <x:c r="C16" s="22" t="str">
        <x:v>GPIO7</x:v>
      </x:c>
      <x:c r="D16" s="22" t="str">
        <x:v>Digital input</x:v>
      </x:c>
      <x:c r="E16" s="22" t="str">
        <x:v>Event-driven</x:v>
      </x:c>
      <x:c r="F16" s="22" t="str">
        <x:v>Conditioned 3.3 V</x:v>
      </x:c>
      <x:c r="G16" s="22" t="str">
        <x:v>3.3 V max</x:v>
      </x:c>
      <x:c r="H16" s="22" t="str">
        <x:v>Isolation/conditioning</x:v>
      </x:c>
      <x:c r="I16" s="22" t="str">
        <x:v>Must not be confused with kill path</x:v>
      </x:c>
      <x:c r="J16" s="22" t="str">
        <x:v>Test indication while hardware independently kills power</x:v>
      </x:c>
    </x:row>
  </x:sheetData>
  <x:mergeCells>
    <x:mergeCell ref="A1:J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0" hidden="0" customWidth="1"/>
    <x:col min="4" max="4" width="22" hidden="0" customWidth="1"/>
    <x:col min="5" max="5" width="24" hidden="0" customWidth="1"/>
    <x:col min="6" max="6" width="27" hidden="0" customWidth="1"/>
    <x:col min="7" max="7" width="18" hidden="0" customWidth="1"/>
    <x:col min="8" max="8" width="28" hidden="0" customWidth="1"/>
    <x:col min="9" max="9" width="42" hidden="0" customWidth="1"/>
    <x:col min="10" max="10" width="14" hidden="0" customWidth="1"/>
  </x:cols>
  <x:sheetData>
    <x:row r="1" ht="24" customHeight="1">
      <x:c r="A1" s="5" t="str">
        <x:v>Bench Wiring Matrix — Connection-by-Connection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4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</x:row>
    <x:row r="4" ht="32" customHeight="1">
      <x:c r="A4" s="14" t="str">
        <x:v>Subsystem</x:v>
      </x:c>
      <x:c r="B4" s="14" t="str">
        <x:v>From</x:v>
      </x:c>
      <x:c r="C4" s="14" t="str">
        <x:v>Pin / Terminal</x:v>
      </x:c>
      <x:c r="D4" s="14" t="str">
        <x:v>To</x:v>
      </x:c>
      <x:c r="E4" s="14" t="str">
        <x:v>Pin / Terminal</x:v>
      </x:c>
      <x:c r="F4" s="14" t="str">
        <x:v>Wire Type</x:v>
      </x:c>
      <x:c r="G4" s="14" t="str">
        <x:v>Voltage Class</x:v>
      </x:c>
      <x:c r="H4" s="14" t="str">
        <x:v>Common / Return</x:v>
      </x:c>
      <x:c r="I4" s="14" t="str">
        <x:v>Critical Note</x:v>
      </x:c>
      <x:c r="J4" s="14" t="str">
        <x:v>Check</x:v>
      </x:c>
    </x:row>
    <x:row r="5">
      <x:c r="A5" s="22" t="str">
        <x:v>BLDC</x:v>
      </x:c>
      <x:c r="B5" s="22" t="str">
        <x:v>ESP32-S3</x:v>
      </x:c>
      <x:c r="C5" s="22" t="str">
        <x:v>GPIO1</x:v>
      </x:c>
      <x:c r="D5" s="22" t="str">
        <x:v>PN2222 EN interface</x:v>
      </x:c>
      <x:c r="E5" s="22" t="str">
        <x:v>Base resistor</x:v>
      </x:c>
      <x:c r="F5" s="22" t="str">
        <x:v>Signal</x:v>
      </x:c>
      <x:c r="G5" s="22" t="str">
        <x:v>3.3 V logic</x:v>
      </x:c>
      <x:c r="H5" s="22" t="str">
        <x:v>Logic GND / BLD COM interface</x:v>
      </x:c>
      <x:c r="I5" s="22" t="str">
        <x:v>Do not connect BLD control terminal directly to S3</x:v>
      </x:c>
      <x:c r="J5" s="22" t="str">
        <x:v>Pending</x:v>
      </x:c>
    </x:row>
    <x:row r="6">
      <x:c r="A6" s="22" t="str">
        <x:v>BLDC</x:v>
      </x:c>
      <x:c r="B6" s="22" t="str">
        <x:v>ESP32-S3</x:v>
      </x:c>
      <x:c r="C6" s="22" t="str">
        <x:v>GPIO2</x:v>
      </x:c>
      <x:c r="D6" s="22" t="str">
        <x:v>PN2222 BRK interface</x:v>
      </x:c>
      <x:c r="E6" s="22" t="str">
        <x:v>Base resistor</x:v>
      </x:c>
      <x:c r="F6" s="22" t="str">
        <x:v>Signal</x:v>
      </x:c>
      <x:c r="G6" s="22" t="str">
        <x:v>3.3 V logic</x:v>
      </x:c>
      <x:c r="H6" s="22" t="str">
        <x:v>Logic GND / BLD COM interface</x:v>
      </x:c>
      <x:c r="I6" s="22" t="str">
        <x:v>Define safe brake polarity at reset</x:v>
      </x:c>
      <x:c r="J6" s="22" t="str">
        <x:v>Pending</x:v>
      </x:c>
    </x:row>
    <x:row r="7">
      <x:c r="A7" s="22" t="str">
        <x:v>BLDC</x:v>
      </x:c>
      <x:c r="B7" s="22" t="str">
        <x:v>ESP32-S3</x:v>
      </x:c>
      <x:c r="C7" s="22" t="str">
        <x:v>GPIO39</x:v>
      </x:c>
      <x:c r="D7" s="22" t="str">
        <x:v>PN2222 F/R interface</x:v>
      </x:c>
      <x:c r="E7" s="22" t="str">
        <x:v>Base resistor</x:v>
      </x:c>
      <x:c r="F7" s="22" t="str">
        <x:v>Signal</x:v>
      </x:c>
      <x:c r="G7" s="22" t="str">
        <x:v>3.3 V logic</x:v>
      </x:c>
      <x:c r="H7" s="22" t="str">
        <x:v>Logic GND / BLD COM interface</x:v>
      </x:c>
      <x:c r="I7" s="22" t="str">
        <x:v>Direction change only at zero throttle</x:v>
      </x:c>
      <x:c r="J7" s="22" t="str">
        <x:v>Pending</x:v>
      </x:c>
    </x:row>
    <x:row r="8">
      <x:c r="A8" s="22" t="str">
        <x:v>Throttle</x:v>
      </x:c>
      <x:c r="B8" s="22" t="str">
        <x:v>ESP32-S3</x:v>
      </x:c>
      <x:c r="C8" s="22" t="str">
        <x:v>GPIO8 SDA</x:v>
      </x:c>
      <x:c r="D8" s="22" t="str">
        <x:v>GP8630N</x:v>
      </x:c>
      <x:c r="E8" s="22" t="str">
        <x:v>SDA</x:v>
      </x:c>
      <x:c r="F8" s="22" t="str">
        <x:v>Twisted with GND if routed</x:v>
      </x:c>
      <x:c r="G8" s="22" t="str">
        <x:v>3.3 V</x:v>
      </x:c>
      <x:c r="H8" s="22" t="str">
        <x:v>Logic GND</x:v>
      </x:c>
      <x:c r="I8" s="22" t="str">
        <x:v>I²C pull-up to 3.3 V only</x:v>
      </x:c>
      <x:c r="J8" s="22" t="str">
        <x:v>Pending</x:v>
      </x:c>
    </x:row>
    <x:row r="9">
      <x:c r="A9" s="22" t="str">
        <x:v>Throttle</x:v>
      </x:c>
      <x:c r="B9" s="22" t="str">
        <x:v>ESP32-S3</x:v>
      </x:c>
      <x:c r="C9" s="22" t="str">
        <x:v>GPIO9 SCL</x:v>
      </x:c>
      <x:c r="D9" s="22" t="str">
        <x:v>GP8630N</x:v>
      </x:c>
      <x:c r="E9" s="22" t="str">
        <x:v>SCL</x:v>
      </x:c>
      <x:c r="F9" s="22" t="str">
        <x:v>Twisted with GND if routed</x:v>
      </x:c>
      <x:c r="G9" s="22" t="str">
        <x:v>3.3 V</x:v>
      </x:c>
      <x:c r="H9" s="22" t="str">
        <x:v>Logic GND</x:v>
      </x:c>
      <x:c r="I9" s="22" t="str">
        <x:v>Initial 100 kHz</x:v>
      </x:c>
      <x:c r="J9" s="22" t="str">
        <x:v>Pending</x:v>
      </x:c>
    </x:row>
    <x:row r="10">
      <x:c r="A10" s="22" t="str">
        <x:v>Throttle</x:v>
      </x:c>
      <x:c r="B10" s="22" t="str">
        <x:v>GP8630N</x:v>
      </x:c>
      <x:c r="C10" s="22" t="str">
        <x:v>Analog OUT</x:v>
      </x:c>
      <x:c r="D10" s="22" t="str">
        <x:v>BLD-750</x:v>
      </x:c>
      <x:c r="E10" s="22" t="str">
        <x:v>SV</x:v>
      </x:c>
      <x:c r="F10" s="22" t="str">
        <x:v>Shield/twist with COM preferred</x:v>
      </x:c>
      <x:c r="G10" s="22" t="str">
        <x:v>0–5 V analog</x:v>
      </x:c>
      <x:c r="H10" s="22" t="str">
        <x:v>BLD COM</x:v>
      </x:c>
      <x:c r="I10" s="22" t="str">
        <x:v>Verify full-scale before enabling traction</x:v>
      </x:c>
      <x:c r="J10" s="22" t="str">
        <x:v>Pending</x:v>
      </x:c>
    </x:row>
    <x:row r="11">
      <x:c r="A11" s="22" t="str">
        <x:v>Steering</x:v>
      </x:c>
      <x:c r="B11" s="22" t="str">
        <x:v>ESP32-S3</x:v>
      </x:c>
      <x:c r="C11" s="22" t="str">
        <x:v>GPIO4/5/6</x:v>
      </x:c>
      <x:c r="D11" s="22" t="str">
        <x:v>TB6600 steering</x:v>
      </x:c>
      <x:c r="E11" s="22" t="str">
        <x:v>PUL+/DIR+/ENA+</x:v>
      </x:c>
      <x:c r="F11" s="22" t="str">
        <x:v>Signal harness</x:v>
      </x:c>
      <x:c r="G11" s="22" t="str">
        <x:v>3.3 V source</x:v>
      </x:c>
      <x:c r="H11" s="22" t="str">
        <x:v>PUL-/DIR-/ENA- return per wiring</x:v>
      </x:c>
      <x:c r="I11" s="22" t="str">
        <x:v>Validate 3.3 V input compatibility</x:v>
      </x:c>
      <x:c r="J11" s="22" t="str">
        <x:v>Pending</x:v>
      </x:c>
    </x:row>
    <x:row r="12">
      <x:c r="A12" s="22" t="str">
        <x:v>Brake</x:v>
      </x:c>
      <x:c r="B12" s="22" t="str">
        <x:v>ESP32-S3</x:v>
      </x:c>
      <x:c r="C12" s="22" t="str">
        <x:v>GPIO10/11/12</x:v>
      </x:c>
      <x:c r="D12" s="22" t="str">
        <x:v>TB6600 brake</x:v>
      </x:c>
      <x:c r="E12" s="22" t="str">
        <x:v>PUL+/DIR+/ENA+</x:v>
      </x:c>
      <x:c r="F12" s="22" t="str">
        <x:v>Signal harness</x:v>
      </x:c>
      <x:c r="G12" s="22" t="str">
        <x:v>3.3 V source</x:v>
      </x:c>
      <x:c r="H12" s="22" t="str">
        <x:v>PUL-/DIR-/ENA- return per wiring</x:v>
      </x:c>
      <x:c r="I12" s="22" t="str">
        <x:v>Validate 3.3 V input compatibility</x:v>
      </x:c>
      <x:c r="J12" s="22" t="str">
        <x:v>Pending</x:v>
      </x:c>
    </x:row>
    <x:row r="13">
      <x:c r="A13" s="22" t="str">
        <x:v>Steering feedback</x:v>
      </x:c>
      <x:c r="B13" s="22" t="str">
        <x:v>AS5600</x:v>
      </x:c>
      <x:c r="C13" s="22" t="str">
        <x:v>PWM OUT</x:v>
      </x:c>
      <x:c r="D13" s="22" t="str">
        <x:v>ESP32-S3</x:v>
      </x:c>
      <x:c r="E13" s="22" t="str">
        <x:v>GPIO13</x:v>
      </x:c>
      <x:c r="F13" s="22" t="str">
        <x:v>Differential pair if MAX3485 retained</x:v>
      </x:c>
      <x:c r="G13" s="22" t="str">
        <x:v>3.3 V at S3</x:v>
      </x:c>
      <x:c r="H13" s="22" t="str">
        <x:v>Logic GND</x:v>
      </x:c>
      <x:c r="I13" s="22" t="str">
        <x:v>Calibrate before OTP</x:v>
      </x:c>
      <x:c r="J13" s="22" t="str">
        <x:v>Pending</x:v>
      </x:c>
    </x:row>
    <x:row r="14">
      <x:c r="A14" s="22" t="str">
        <x:v>Brake feedback</x:v>
      </x:c>
      <x:c r="B14" s="22" t="str">
        <x:v>AS5600</x:v>
      </x:c>
      <x:c r="C14" s="22" t="str">
        <x:v>PWM OUT</x:v>
      </x:c>
      <x:c r="D14" s="22" t="str">
        <x:v>ESP32-S3</x:v>
      </x:c>
      <x:c r="E14" s="22" t="str">
        <x:v>GPIO14</x:v>
      </x:c>
      <x:c r="F14" s="22" t="str">
        <x:v>Differential pair if MAX3485 retained</x:v>
      </x:c>
      <x:c r="G14" s="22" t="str">
        <x:v>3.3 V at S3</x:v>
      </x:c>
      <x:c r="H14" s="22" t="str">
        <x:v>Logic GND</x:v>
      </x:c>
      <x:c r="I14" s="22" t="str">
        <x:v>Calibrate before OTP</x:v>
      </x:c>
      <x:c r="J14" s="22" t="str">
        <x:v>Pending</x:v>
      </x:c>
    </x:row>
    <x:row r="15">
      <x:c r="A15" s="22" t="str">
        <x:v>Rear axle</x:v>
      </x:c>
      <x:c r="B15" s="22" t="str">
        <x:v>AS5047P</x:v>
      </x:c>
      <x:c r="C15" s="22" t="str">
        <x:v>A/B/I</x:v>
      </x:c>
      <x:c r="D15" s="22" t="str">
        <x:v>ESP32-S3</x:v>
      </x:c>
      <x:c r="E15" s="22" t="str">
        <x:v>GPIO15/16/17</x:v>
      </x:c>
      <x:c r="F15" s="22" t="str">
        <x:v>3 differential channels if MAX3485 retained</x:v>
      </x:c>
      <x:c r="G15" s="22" t="str">
        <x:v>3.3 V at S3</x:v>
      </x:c>
      <x:c r="H15" s="22" t="str">
        <x:v>Logic GND</x:v>
      </x:c>
      <x:c r="I15" s="22" t="str">
        <x:v>Use PCNT and validate at max RPM</x:v>
      </x:c>
      <x:c r="J15" s="22" t="str">
        <x:v>Pending</x:v>
      </x:c>
    </x:row>
    <x:row r="16">
      <x:c r="A16" s="22" t="str">
        <x:v>LoRa</x:v>
      </x:c>
      <x:c r="B16" s="22" t="str">
        <x:v>ESP32-S3</x:v>
      </x:c>
      <x:c r="C16" s="22" t="str">
        <x:v>18/21/47/38/41/42</x:v>
      </x:c>
      <x:c r="D16" s="22" t="str">
        <x:v>RA-02</x:v>
      </x:c>
      <x:c r="E16" s="22" t="str">
        <x:v>SCK/MOSI/MISO/NSS/RST/DIO0</x:v>
      </x:c>
      <x:c r="F16" s="22" t="str">
        <x:v>Short SPI harness</x:v>
      </x:c>
      <x:c r="G16" s="22" t="str">
        <x:v>3.3 V only</x:v>
      </x:c>
      <x:c r="H16" s="22" t="str">
        <x:v>Logic GND</x:v>
      </x:c>
      <x:c r="I16" s="22" t="str">
        <x:v>GPIO38 NSS external pull-up</x:v>
      </x:c>
      <x:c r="J16" s="22" t="str">
        <x:v>Pending</x:v>
      </x:c>
    </x:row>
    <x:row r="17">
      <x:c r="A17" s="22" t="str">
        <x:v>Safety</x:v>
      </x:c>
      <x:c r="B17" s="22" t="str">
        <x:v>E-stop aux contact</x:v>
      </x:c>
      <x:c r="C17" s="22" t="str">
        <x:v>Conditioned output</x:v>
      </x:c>
      <x:c r="D17" s="22" t="str">
        <x:v>ESP32-S3</x:v>
      </x:c>
      <x:c r="E17" s="22" t="str">
        <x:v>GPIO7</x:v>
      </x:c>
      <x:c r="F17" s="22" t="str">
        <x:v>Separate status wire</x:v>
      </x:c>
      <x:c r="G17" s="22" t="str">
        <x:v>3.3 V max</x:v>
      </x:c>
      <x:c r="H17" s="22" t="str">
        <x:v>Isolated return</x:v>
      </x:c>
      <x:c r="I17" s="22" t="str">
        <x:v>Status only — physical E-stop must cut hardware independently</x:v>
      </x:c>
      <x:c r="J17" s="22" t="str">
        <x:v>Pending</x:v>
      </x:c>
    </x:row>
  </x:sheetData>
  <x:mergeCells>
    <x:mergeCell ref="A1:J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42" hidden="0" customWidth="1"/>
    <x:col min="4" max="4" width="44" hidden="0" customWidth="1"/>
    <x:col min="5" max="5" width="40" hidden="0" customWidth="1"/>
    <x:col min="6" max="6" width="28" hidden="0" customWidth="1"/>
    <x:col min="7" max="7" width="18" hidden="0" customWidth="1"/>
    <x:col min="8" max="8" width="12" hidden="0" customWidth="1"/>
  </x:cols>
  <x:sheetData>
    <x:row r="1" ht="24" customHeight="1">
      <x:c r="A1" s="5" t="str">
        <x:v>Items NOT to Guess — Must Be Measured / Confirmed</x:v>
      </x:c>
      <x:c r="B1" s="5"/>
      <x:c r="C1" s="5"/>
      <x:c r="D1" s="5"/>
      <x:c r="E1" s="5"/>
      <x:c r="F1" s="5"/>
      <x:c r="G1" s="5"/>
      <x:c r="H1" s="5"/>
    </x:row>
    <x:row r="2" ht="24" customHeight="1">
      <x:c r="A2" s="5"/>
      <x:c r="B2" s="5"/>
      <x:c r="C2" s="5"/>
      <x:c r="D2" s="5"/>
      <x:c r="E2" s="5"/>
      <x:c r="F2" s="5"/>
      <x:c r="G2" s="5"/>
      <x:c r="H2" s="5"/>
    </x:row>
    <x:row r="4" ht="32" customHeight="1">
      <x:c r="A4" s="14" t="str">
        <x:v>Priority</x:v>
      </x:c>
      <x:c r="B4" s="14" t="str">
        <x:v>Open Item</x:v>
      </x:c>
      <x:c r="C4" s="14" t="str">
        <x:v>Why It Matters</x:v>
      </x:c>
      <x:c r="D4" s="14" t="str">
        <x:v>Required Input / Measurement</x:v>
      </x:c>
      <x:c r="E4" s="14" t="str">
        <x:v>Pass Criterion</x:v>
      </x:c>
      <x:c r="F4" s="14" t="str">
        <x:v>Before</x:v>
      </x:c>
      <x:c r="G4" s="14" t="str">
        <x:v>Owner</x:v>
      </x:c>
      <x:c r="H4" s="14" t="str">
        <x:v>Status</x:v>
      </x:c>
    </x:row>
    <x:row r="5">
      <x:c r="A5" s="22" t="str">
        <x:v>P0</x:v>
      </x:c>
      <x:c r="B5" s="22" t="str">
        <x:v>BLDC traction current, fuse, cable and contactor sizing</x:v>
      </x:c>
      <x:c r="C5" s="22" t="str">
        <x:v>Wrong sizing can overheat wiring or fail to interrupt a fault</x:v>
      </x:c>
      <x:c r="D5" s="22" t="str">
        <x:v>Battery/BMS limits, motor data, measured continuous + peak pack current, cable length and ambient</x:v>
      </x:c>
      <x:c r="E5" s="22" t="str">
        <x:v>Protection and conductor ampacity exceed validated load with engineering margin</x:v>
      </x:c>
      <x:c r="F5" s="22" t="str">
        <x:v>Vehicle-powered traction test</x:v>
      </x:c>
      <x:c r="G5" s="22" t="str">
        <x:v>Electrical</x:v>
      </x:c>
      <x:c r="H5" s="22" t="str">
        <x:v>OPEN</x:v>
      </x:c>
    </x:row>
    <x:row r="6">
      <x:c r="A6" s="22" t="str">
        <x:v>P0</x:v>
      </x:c>
      <x:c r="B6" s="22" t="str">
        <x:v>Actual BLD-750 SV input range / J1 configuration</x:v>
      </x:c>
      <x:c r="C6" s="22" t="str">
        <x:v>Wrong range changes commanded speed and can over-command the drive</x:v>
      </x:c>
      <x:c r="D6" s="22" t="str">
        <x:v>Inspect exact unit/manual/jumper and measure SV response</x:v>
      </x:c>
      <x:c r="E6" s="22" t="str">
        <x:v>100% software command produces only the intended safe full-scale voltage</x:v>
      </x:c>
      <x:c r="F6" s="22" t="str">
        <x:v>Any motor-on autonomous test</x:v>
      </x:c>
      <x:c r="G6" s="22" t="str">
        <x:v>Controls</x:v>
      </x:c>
      <x:c r="H6" s="22" t="str">
        <x:v>OPEN</x:v>
      </x:c>
    </x:row>
    <x:row r="7">
      <x:c r="A7" s="22" t="str">
        <x:v>P0</x:v>
      </x:c>
      <x:c r="B7" s="22" t="str">
        <x:v>Hardware E-stop energy isolation</x:v>
      </x:c>
      <x:c r="C7" s="22" t="str">
        <x:v>S3 failure must not prevent stopping</x:v>
      </x:c>
      <x:c r="D7" s="22" t="str">
        <x:v>Contactor/relay wiring and auxiliary feedback</x:v>
      </x:c>
      <x:c r="E7" s="22" t="str">
        <x:v>E-stop removes traction and reaches the defined safe actuator state independent of firmware</x:v>
      </x:c>
      <x:c r="F7" s="22" t="str">
        <x:v>Wheels-on-ground test</x:v>
      </x:c>
      <x:c r="G7" s="22" t="str">
        <x:v>Safety</x:v>
      </x:c>
      <x:c r="H7" s="22" t="str">
        <x:v>OPEN</x:v>
      </x:c>
    </x:row>
    <x:row r="8">
      <x:c r="A8" s="22" t="str">
        <x:v>P1</x:v>
      </x:c>
      <x:c r="B8" s="22" t="str">
        <x:v>TB6600 3.3 V input reliability</x:v>
      </x:c>
      <x:c r="C8" s="22" t="str">
        <x:v>Some modules need more optocoupler current than an S3 GPIO should supply</x:v>
      </x:c>
      <x:c r="D8" s="22" t="str">
        <x:v>Measure input current and scope pulses at driver terminals</x:v>
      </x:c>
      <x:c r="E8" s="22" t="str">
        <x:v>No missed pulses/enable faults over full temperature and load range</x:v>
      </x:c>
      <x:c r="F8" s="22" t="str">
        <x:v>Loaded steering/brake test</x:v>
      </x:c>
      <x:c r="G8" s="22" t="str">
        <x:v>Electrical</x:v>
      </x:c>
      <x:c r="H8" s="22" t="str">
        <x:v>OPEN</x:v>
      </x:c>
    </x:row>
    <x:row r="9">
      <x:c r="A9" s="22" t="str">
        <x:v>P1</x:v>
      </x:c>
      <x:c r="B9" s="22" t="str">
        <x:v>Stepper current setting</x:v>
      </x:c>
      <x:c r="C9" s="22" t="str">
        <x:v>Too low causes stall; too high causes motor/driver heating</x:v>
      </x:c>
      <x:c r="D9" s="22" t="str">
        <x:v>Confirmed motor rated current + TB6600 DIP table + temperature test</x:v>
      </x:c>
      <x:c r="E9" s="22" t="str">
        <x:v>No slip under required load and acceptable motor/driver temperature</x:v>
      </x:c>
      <x:c r="F9" s="22" t="str">
        <x:v>Full-load actuator test</x:v>
      </x:c>
      <x:c r="G9" s="22" t="str">
        <x:v>Mechatronics</x:v>
      </x:c>
      <x:c r="H9" s="22" t="str">
        <x:v>OPEN</x:v>
      </x:c>
    </x:row>
    <x:row r="10">
      <x:c r="A10" s="22" t="str">
        <x:v>P1</x:v>
      </x:c>
      <x:c r="B10" s="22" t="str">
        <x:v>AS5600 calibration ranges</x:v>
      </x:c>
      <x:c r="C10" s="22" t="str">
        <x:v>Feedback is meaningless without validated endpoints and direction</x:v>
      </x:c>
      <x:c r="D10" s="22" t="str">
        <x:v>Mechanical min/center/max and PWM duty readings</x:v>
      </x:c>
      <x:c r="E10" s="22" t="str">
        <x:v>Monotonic feedback with margin from mechanical hard stops</x:v>
      </x:c>
      <x:c r="F10" s="22" t="str">
        <x:v>Closed-loop control</x:v>
      </x:c>
      <x:c r="G10" s="22" t="str">
        <x:v>Controls</x:v>
      </x:c>
      <x:c r="H10" s="22" t="str">
        <x:v>OPEN</x:v>
      </x:c>
    </x:row>
    <x:row r="11">
      <x:c r="A11" s="22" t="str">
        <x:v>P1</x:v>
      </x:c>
      <x:c r="B11" s="22" t="str">
        <x:v>AS5047P counts/rev and maximum frequency</x:v>
      </x:c>
      <x:c r="C11" s="22" t="str">
        <x:v>Wheel-speed feedback can alias or overflow if configured incorrectly</x:v>
      </x:c>
      <x:c r="D11" s="22" t="str">
        <x:v>Encoder config + max wheel RPM + PCNT test</x:v>
      </x:c>
      <x:c r="E11" s="22" t="str">
        <x:v>Measured speed matches reference tachometer across range</x:v>
      </x:c>
      <x:c r="F11" s="22" t="str">
        <x:v>Speed control</x:v>
      </x:c>
      <x:c r="G11" s="22" t="str">
        <x:v>Controls</x:v>
      </x:c>
      <x:c r="H11" s="22" t="str">
        <x:v>OPEN</x:v>
      </x:c>
    </x:row>
    <x:row r="12">
      <x:c r="A12" s="22" t="str">
        <x:v>P1</x:v>
      </x:c>
      <x:c r="B12" s="22" t="str">
        <x:v>3.3 V rail transient margin</x:v>
      </x:c>
      <x:c r="C12" s="22" t="str">
        <x:v>LoRa TX and switching noise can brown out sensors/MCU</x:v>
      </x:c>
      <x:c r="D12" s="22" t="str">
        <x:v>Scope 3.3 V and 5 V during worst-case simultaneous activity</x:v>
      </x:c>
      <x:c r="E12" s="22" t="str">
        <x:v>No reset; rail remains inside device limits</x:v>
      </x:c>
      <x:c r="F12" s="22" t="str">
        <x:v>Integrated bench test</x:v>
      </x:c>
      <x:c r="G12" s="22" t="str">
        <x:v>Electrical</x:v>
      </x:c>
      <x:c r="H12" s="22" t="str">
        <x:v>OPEN</x:v>
      </x:c>
    </x:row>
  </x:sheetData>
  <x:mergeCells>
    <x:mergeCell ref="A1:H2"/>
  </x:mergeCells>
  <x:conditionalFormatting sqref="A5:A12">
    <x:cfRule type="expression" dxfId="7" priority="1">
      <x:formula>A5="P0"</x:formula>
    </x:cfRule>
    <x:cfRule type="expression" dxfId="8" priority="2">
      <x:formula>A5="P1"</x:formula>
    </x:cfRule>
  </x:conditionalFormatting>
  <x:pageMargins left="0.7" right="0.7" top="0.75" bottom="0.75" header="0.3" footer="0.3"/>
</x:worksheet>
</file>